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c28fb8998ccbe37/Desktop/map sem 1/"/>
    </mc:Choice>
  </mc:AlternateContent>
  <xr:revisionPtr revIDLastSave="2" documentId="13_ncr:1_{38158E1A-000E-4AF6-BB97-F711C30F63EA}" xr6:coauthVersionLast="47" xr6:coauthVersionMax="47" xr10:uidLastSave="{0BD1531C-5A82-40CB-8618-25241FFBCE17}"/>
  <bookViews>
    <workbookView xWindow="-110" yWindow="-110" windowWidth="19420" windowHeight="10300" xr2:uid="{00000000-000D-0000-FFFF-FFFF00000000}"/>
  </bookViews>
  <sheets>
    <sheet name="Sales_Data" sheetId="1" r:id="rId1"/>
  </sheets>
  <definedNames>
    <definedName name="_xlnm._FilterDatabase" localSheetId="0" hidden="1">Sales_Data!$H$42:$H$45</definedName>
  </definedNames>
  <calcPr calcId="191029"/>
  <pivotCaches>
    <pivotCache cacheId="0" r:id="rId2"/>
  </pivotCaches>
</workbook>
</file>

<file path=xl/calcChain.xml><?xml version="1.0" encoding="utf-8"?>
<calcChain xmlns="http://schemas.openxmlformats.org/spreadsheetml/2006/main">
  <c r="I45" i="1" l="1"/>
  <c r="F50" i="1"/>
  <c r="I5" i="1"/>
  <c r="I6" i="1"/>
  <c r="I7" i="1"/>
  <c r="J7" i="1" s="1"/>
  <c r="K7" i="1" s="1"/>
  <c r="N7" i="1" s="1"/>
  <c r="I8" i="1"/>
  <c r="I9" i="1"/>
  <c r="J9" i="1" s="1"/>
  <c r="I10" i="1"/>
  <c r="I11" i="1"/>
  <c r="J11" i="1" s="1"/>
  <c r="K11" i="1" s="1"/>
  <c r="N11" i="1" s="1"/>
  <c r="I12" i="1"/>
  <c r="J12" i="1" s="1"/>
  <c r="I13" i="1"/>
  <c r="I14" i="1"/>
  <c r="I15" i="1"/>
  <c r="J15" i="1" s="1"/>
  <c r="K15" i="1" s="1"/>
  <c r="N15" i="1" s="1"/>
  <c r="I16" i="1"/>
  <c r="J16" i="1" s="1"/>
  <c r="K16" i="1" s="1"/>
  <c r="N16" i="1" s="1"/>
  <c r="I17" i="1"/>
  <c r="J17" i="1" s="1"/>
  <c r="I18" i="1"/>
  <c r="I19" i="1"/>
  <c r="J19" i="1" s="1"/>
  <c r="K19" i="1" s="1"/>
  <c r="N19" i="1" s="1"/>
  <c r="I20" i="1"/>
  <c r="J20" i="1" s="1"/>
  <c r="K20" i="1" s="1"/>
  <c r="N20" i="1" s="1"/>
  <c r="I21" i="1"/>
  <c r="I22" i="1"/>
  <c r="I23" i="1"/>
  <c r="J23" i="1" s="1"/>
  <c r="K23" i="1" s="1"/>
  <c r="N23" i="1" s="1"/>
  <c r="I24" i="1"/>
  <c r="I25" i="1"/>
  <c r="J25" i="1" s="1"/>
  <c r="I26" i="1"/>
  <c r="I27" i="1"/>
  <c r="J27" i="1" s="1"/>
  <c r="K27" i="1" s="1"/>
  <c r="N27" i="1" s="1"/>
  <c r="I28" i="1"/>
  <c r="J28" i="1" s="1"/>
  <c r="I29" i="1"/>
  <c r="I30" i="1"/>
  <c r="I31" i="1"/>
  <c r="J31" i="1" s="1"/>
  <c r="K31" i="1" s="1"/>
  <c r="N31" i="1" s="1"/>
  <c r="I32" i="1"/>
  <c r="J32" i="1" s="1"/>
  <c r="K32" i="1" s="1"/>
  <c r="N32" i="1" s="1"/>
  <c r="I33" i="1"/>
  <c r="J33" i="1" s="1"/>
  <c r="I34" i="1"/>
  <c r="I35" i="1"/>
  <c r="J35" i="1" s="1"/>
  <c r="K35" i="1" s="1"/>
  <c r="N35" i="1" s="1"/>
  <c r="I36" i="1"/>
  <c r="J36" i="1" s="1"/>
  <c r="K36" i="1" s="1"/>
  <c r="N36" i="1" s="1"/>
  <c r="I37" i="1"/>
  <c r="I38" i="1"/>
  <c r="I4" i="1"/>
  <c r="J4" i="1" s="1"/>
  <c r="K4" i="1" s="1"/>
  <c r="N4" i="1" s="1"/>
  <c r="K28" i="1" l="1"/>
  <c r="N28" i="1" s="1"/>
  <c r="K12" i="1"/>
  <c r="L12" i="1" s="1"/>
  <c r="K17" i="1"/>
  <c r="N17" i="1" s="1"/>
  <c r="K9" i="1"/>
  <c r="N9" i="1" s="1"/>
  <c r="J24" i="1"/>
  <c r="K24" i="1" s="1"/>
  <c r="N24" i="1" s="1"/>
  <c r="J8" i="1"/>
  <c r="K8" i="1" s="1"/>
  <c r="K33" i="1"/>
  <c r="K25" i="1"/>
  <c r="N25" i="1" s="1"/>
  <c r="J37" i="1"/>
  <c r="K37" i="1" s="1"/>
  <c r="N37" i="1" s="1"/>
  <c r="J29" i="1"/>
  <c r="K29" i="1" s="1"/>
  <c r="N29" i="1" s="1"/>
  <c r="J21" i="1"/>
  <c r="K21" i="1" s="1"/>
  <c r="N21" i="1" s="1"/>
  <c r="J13" i="1"/>
  <c r="K13" i="1" s="1"/>
  <c r="N13" i="1" s="1"/>
  <c r="J5" i="1"/>
  <c r="K5" i="1" s="1"/>
  <c r="N5" i="1" s="1"/>
  <c r="L28" i="1"/>
  <c r="M28" i="1" s="1"/>
  <c r="L35" i="1"/>
  <c r="M35" i="1" s="1"/>
  <c r="L31" i="1"/>
  <c r="M31" i="1" s="1"/>
  <c r="L27" i="1"/>
  <c r="M27" i="1" s="1"/>
  <c r="L23" i="1"/>
  <c r="M23" i="1" s="1"/>
  <c r="L19" i="1"/>
  <c r="M19" i="1" s="1"/>
  <c r="L15" i="1"/>
  <c r="M15" i="1" s="1"/>
  <c r="L11" i="1"/>
  <c r="M11" i="1" s="1"/>
  <c r="L7" i="1"/>
  <c r="M7" i="1" s="1"/>
  <c r="L36" i="1"/>
  <c r="M36" i="1" s="1"/>
  <c r="L20" i="1"/>
  <c r="M20" i="1" s="1"/>
  <c r="L4" i="1"/>
  <c r="M4" i="1" s="1"/>
  <c r="J38" i="1"/>
  <c r="K38" i="1" s="1"/>
  <c r="N38" i="1" s="1"/>
  <c r="J34" i="1"/>
  <c r="K34" i="1" s="1"/>
  <c r="N34" i="1" s="1"/>
  <c r="J30" i="1"/>
  <c r="K30" i="1" s="1"/>
  <c r="N30" i="1" s="1"/>
  <c r="J26" i="1"/>
  <c r="K26" i="1" s="1"/>
  <c r="N26" i="1" s="1"/>
  <c r="J22" i="1"/>
  <c r="K22" i="1" s="1"/>
  <c r="N22" i="1" s="1"/>
  <c r="J18" i="1"/>
  <c r="K18" i="1" s="1"/>
  <c r="N18" i="1" s="1"/>
  <c r="J14" i="1"/>
  <c r="K14" i="1" s="1"/>
  <c r="N14" i="1" s="1"/>
  <c r="J10" i="1"/>
  <c r="K10" i="1" s="1"/>
  <c r="N10" i="1" s="1"/>
  <c r="J6" i="1"/>
  <c r="K6" i="1" s="1"/>
  <c r="N6" i="1" s="1"/>
  <c r="L32" i="1"/>
  <c r="M32" i="1" s="1"/>
  <c r="L16" i="1"/>
  <c r="M16" i="1" s="1"/>
  <c r="L17" i="1" l="1"/>
  <c r="M17" i="1" s="1"/>
  <c r="N8" i="1"/>
  <c r="F49" i="1"/>
  <c r="L33" i="1"/>
  <c r="M33" i="1" s="1"/>
  <c r="N33" i="1"/>
  <c r="M12" i="1"/>
  <c r="N12" i="1"/>
  <c r="L29" i="1"/>
  <c r="M29" i="1" s="1"/>
  <c r="L8" i="1"/>
  <c r="M8" i="1" s="1"/>
  <c r="L9" i="1"/>
  <c r="M9" i="1" s="1"/>
  <c r="L25" i="1"/>
  <c r="M25" i="1" s="1"/>
  <c r="L21" i="1"/>
  <c r="M21" i="1" s="1"/>
  <c r="L13" i="1"/>
  <c r="M13" i="1" s="1"/>
  <c r="L5" i="1"/>
  <c r="M5" i="1" s="1"/>
  <c r="L37" i="1"/>
  <c r="M37" i="1" s="1"/>
  <c r="L24" i="1"/>
  <c r="M24" i="1" s="1"/>
  <c r="L38" i="1"/>
  <c r="M38" i="1" s="1"/>
  <c r="L6" i="1"/>
  <c r="M6" i="1" s="1"/>
  <c r="L30" i="1"/>
  <c r="M30" i="1" s="1"/>
  <c r="L22" i="1"/>
  <c r="M22" i="1" s="1"/>
  <c r="L14" i="1"/>
  <c r="M14" i="1" s="1"/>
  <c r="L10" i="1"/>
  <c r="M10" i="1" s="1"/>
  <c r="L18" i="1"/>
  <c r="M18" i="1" s="1"/>
  <c r="L26" i="1"/>
  <c r="M26" i="1" s="1"/>
  <c r="L34" i="1"/>
  <c r="M34" i="1" s="1"/>
  <c r="F48" i="1" l="1"/>
  <c r="F45" i="1"/>
  <c r="F47" i="1"/>
  <c r="F46" i="1"/>
</calcChain>
</file>

<file path=xl/sharedStrings.xml><?xml version="1.0" encoding="utf-8"?>
<sst xmlns="http://schemas.openxmlformats.org/spreadsheetml/2006/main" count="108" uniqueCount="34">
  <si>
    <t>Date</t>
  </si>
  <si>
    <t>Region</t>
  </si>
  <si>
    <t>Product Category</t>
  </si>
  <si>
    <t>Units Sold</t>
  </si>
  <si>
    <t>Unit Price</t>
  </si>
  <si>
    <t>Discount %</t>
  </si>
  <si>
    <t>Gross Sales</t>
  </si>
  <si>
    <t>Discount Amount</t>
  </si>
  <si>
    <t>Net Sales</t>
  </si>
  <si>
    <t>Tax (18%)</t>
  </si>
  <si>
    <t>Total Revenue</t>
  </si>
  <si>
    <t>West</t>
  </si>
  <si>
    <t>Apparel</t>
  </si>
  <si>
    <t>East</t>
  </si>
  <si>
    <t>Home Decor</t>
  </si>
  <si>
    <t>North</t>
  </si>
  <si>
    <t>Electronics</t>
  </si>
  <si>
    <t>South</t>
  </si>
  <si>
    <t>summary table</t>
  </si>
  <si>
    <t>total revenue</t>
  </si>
  <si>
    <t>average order value</t>
  </si>
  <si>
    <t>highest singlr sale</t>
  </si>
  <si>
    <t>transaction count</t>
  </si>
  <si>
    <t>perfomance status</t>
  </si>
  <si>
    <t>total sales for north</t>
  </si>
  <si>
    <t>no. of electronics sold in west</t>
  </si>
  <si>
    <t>search box</t>
  </si>
  <si>
    <t>TRANSACTION ID</t>
  </si>
  <si>
    <t>TOTAL REVENUE</t>
  </si>
  <si>
    <t>Transaction id</t>
  </si>
  <si>
    <t>Row Labels</t>
  </si>
  <si>
    <t>Grand Total</t>
  </si>
  <si>
    <t>Sum of Net Sales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</si>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</sst>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9" fontId="0" fillId="0" borderId="0" xfId="1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9" fontId="2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1" applyNumberFormat="1" applyFont="1"/>
    <xf numFmtId="9" fontId="1" fillId="3" borderId="0" xfId="1" applyFont="1" applyFill="1"/>
    <xf numFmtId="0" fontId="0" fillId="3" borderId="0" xfId="0" applyFill="1"/>
    <xf numFmtId="0" fontId="0" fillId="4" borderId="0" xfId="1" applyNumberFormat="1" applyFont="1" applyFill="1"/>
    <xf numFmtId="0" fontId="0" fillId="5" borderId="0" xfId="0" applyFill="1"/>
    <xf numFmtId="0" fontId="5" fillId="2" borderId="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accros different regions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82-4611-AA89-B016710CE3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82-4611-AA89-B016710CE3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82-4611-AA89-B016710CE3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82-4611-AA89-B016710CE3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82-4611-AA89-B016710CE3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82-4611-AA89-B016710CE3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82-4611-AA89-B016710CE3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982-4611-AA89-B016710CE3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982-4611-AA89-B016710CE3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982-4611-AA89-B016710CE3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982-4611-AA89-B016710CE3D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982-4611-AA89-B016710CE3D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982-4611-AA89-B016710CE3D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982-4611-AA89-B016710CE3D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982-4611-AA89-B016710CE3D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982-4611-AA89-B016710CE3D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982-4611-AA89-B016710CE3D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982-4611-AA89-B016710CE3D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982-4611-AA89-B016710CE3D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0982-4611-AA89-B016710CE3D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0982-4611-AA89-B016710CE3D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0982-4611-AA89-B016710CE3D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0982-4611-AA89-B016710CE3D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0982-4611-AA89-B016710CE3D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0982-4611-AA89-B016710CE3D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0982-4611-AA89-B016710CE3D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0982-4611-AA89-B016710CE3D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0982-4611-AA89-B016710CE3D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0982-4611-AA89-B016710CE3D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0982-4611-AA89-B016710CE3D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0982-4611-AA89-B016710CE3D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0982-4611-AA89-B016710CE3D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0982-4611-AA89-B016710CE3D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0982-4611-AA89-B016710CE3D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0982-4611-AA89-B016710CE3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Sales_Data!$D$4:$E$38</c15:sqref>
                  </c15:fullRef>
                  <c15:levelRef>
                    <c15:sqref>Sales_Data!$D$4:$D$38</c15:sqref>
                  </c15:levelRef>
                </c:ext>
              </c:extLst>
              <c:f>Sales_Data!$D$4:$D$38</c:f>
              <c:strCache>
                <c:ptCount val="35"/>
                <c:pt idx="0">
                  <c:v>West</c:v>
                </c:pt>
                <c:pt idx="1">
                  <c:v>East</c:v>
                </c:pt>
                <c:pt idx="2">
                  <c:v>West</c:v>
                </c:pt>
                <c:pt idx="3">
                  <c:v>West</c:v>
                </c:pt>
                <c:pt idx="4">
                  <c:v>North</c:v>
                </c:pt>
                <c:pt idx="5">
                  <c:v>West</c:v>
                </c:pt>
                <c:pt idx="6">
                  <c:v>West</c:v>
                </c:pt>
                <c:pt idx="7">
                  <c:v>West</c:v>
                </c:pt>
                <c:pt idx="8">
                  <c:v>South</c:v>
                </c:pt>
                <c:pt idx="9">
                  <c:v>West</c:v>
                </c:pt>
                <c:pt idx="10">
                  <c:v>South</c:v>
                </c:pt>
                <c:pt idx="11">
                  <c:v>South</c:v>
                </c:pt>
                <c:pt idx="12">
                  <c:v>East</c:v>
                </c:pt>
                <c:pt idx="13">
                  <c:v>South</c:v>
                </c:pt>
                <c:pt idx="14">
                  <c:v>East</c:v>
                </c:pt>
                <c:pt idx="15">
                  <c:v>West</c:v>
                </c:pt>
                <c:pt idx="16">
                  <c:v>West</c:v>
                </c:pt>
                <c:pt idx="17">
                  <c:v>West</c:v>
                </c:pt>
                <c:pt idx="18">
                  <c:v>North</c:v>
                </c:pt>
                <c:pt idx="19">
                  <c:v>West</c:v>
                </c:pt>
                <c:pt idx="20">
                  <c:v>North</c:v>
                </c:pt>
                <c:pt idx="21">
                  <c:v>South</c:v>
                </c:pt>
                <c:pt idx="22">
                  <c:v>East</c:v>
                </c:pt>
                <c:pt idx="23">
                  <c:v>North</c:v>
                </c:pt>
                <c:pt idx="24">
                  <c:v>West</c:v>
                </c:pt>
                <c:pt idx="25">
                  <c:v>West</c:v>
                </c:pt>
                <c:pt idx="26">
                  <c:v>North</c:v>
                </c:pt>
                <c:pt idx="27">
                  <c:v>South</c:v>
                </c:pt>
                <c:pt idx="28">
                  <c:v>South</c:v>
                </c:pt>
                <c:pt idx="29">
                  <c:v>South</c:v>
                </c:pt>
                <c:pt idx="30">
                  <c:v>West</c:v>
                </c:pt>
                <c:pt idx="31">
                  <c:v>South</c:v>
                </c:pt>
                <c:pt idx="32">
                  <c:v>North</c:v>
                </c:pt>
                <c:pt idx="33">
                  <c:v>North</c:v>
                </c:pt>
                <c:pt idx="34">
                  <c:v>West</c:v>
                </c:pt>
              </c:strCache>
            </c:strRef>
          </c:cat>
          <c:val>
            <c:numRef>
              <c:f>Sales_Data!$F$4:$F$38</c:f>
              <c:numCache>
                <c:formatCode>General</c:formatCode>
                <c:ptCount val="35"/>
                <c:pt idx="0">
                  <c:v>445</c:v>
                </c:pt>
                <c:pt idx="1">
                  <c:v>352</c:v>
                </c:pt>
                <c:pt idx="2">
                  <c:v>366</c:v>
                </c:pt>
                <c:pt idx="3">
                  <c:v>353</c:v>
                </c:pt>
                <c:pt idx="4">
                  <c:v>457</c:v>
                </c:pt>
                <c:pt idx="5">
                  <c:v>444</c:v>
                </c:pt>
                <c:pt idx="6">
                  <c:v>173</c:v>
                </c:pt>
                <c:pt idx="7">
                  <c:v>483</c:v>
                </c:pt>
                <c:pt idx="8">
                  <c:v>96</c:v>
                </c:pt>
                <c:pt idx="9">
                  <c:v>40</c:v>
                </c:pt>
                <c:pt idx="10">
                  <c:v>437</c:v>
                </c:pt>
                <c:pt idx="11">
                  <c:v>177</c:v>
                </c:pt>
                <c:pt idx="12">
                  <c:v>162</c:v>
                </c:pt>
                <c:pt idx="13">
                  <c:v>194</c:v>
                </c:pt>
                <c:pt idx="14">
                  <c:v>252</c:v>
                </c:pt>
                <c:pt idx="15">
                  <c:v>369</c:v>
                </c:pt>
                <c:pt idx="16">
                  <c:v>122</c:v>
                </c:pt>
                <c:pt idx="17">
                  <c:v>290</c:v>
                </c:pt>
                <c:pt idx="18">
                  <c:v>352</c:v>
                </c:pt>
                <c:pt idx="19">
                  <c:v>421</c:v>
                </c:pt>
                <c:pt idx="20">
                  <c:v>190</c:v>
                </c:pt>
                <c:pt idx="21">
                  <c:v>45</c:v>
                </c:pt>
                <c:pt idx="22">
                  <c:v>130</c:v>
                </c:pt>
                <c:pt idx="23">
                  <c:v>387</c:v>
                </c:pt>
                <c:pt idx="24">
                  <c:v>43</c:v>
                </c:pt>
                <c:pt idx="25">
                  <c:v>395</c:v>
                </c:pt>
                <c:pt idx="26">
                  <c:v>339</c:v>
                </c:pt>
                <c:pt idx="27">
                  <c:v>339</c:v>
                </c:pt>
                <c:pt idx="28">
                  <c:v>15</c:v>
                </c:pt>
                <c:pt idx="29">
                  <c:v>32</c:v>
                </c:pt>
                <c:pt idx="30">
                  <c:v>306</c:v>
                </c:pt>
                <c:pt idx="31">
                  <c:v>75</c:v>
                </c:pt>
                <c:pt idx="32">
                  <c:v>244</c:v>
                </c:pt>
                <c:pt idx="33">
                  <c:v>41</c:v>
                </c:pt>
                <c:pt idx="34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E-40EA-B70E-E62FAA0269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sales</a:t>
            </a:r>
            <a:r>
              <a:rPr lang="en-IN" baseline="0"/>
              <a:t> accross product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Sales_Data!$E$4:$E$38</c:f>
              <c:strCache>
                <c:ptCount val="35"/>
                <c:pt idx="0">
                  <c:v>Apparel</c:v>
                </c:pt>
                <c:pt idx="1">
                  <c:v>Apparel</c:v>
                </c:pt>
                <c:pt idx="2">
                  <c:v>Apparel</c:v>
                </c:pt>
                <c:pt idx="3">
                  <c:v>Home Decor</c:v>
                </c:pt>
                <c:pt idx="4">
                  <c:v>Home Decor</c:v>
                </c:pt>
                <c:pt idx="5">
                  <c:v>Home Decor</c:v>
                </c:pt>
                <c:pt idx="6">
                  <c:v>Electronics</c:v>
                </c:pt>
                <c:pt idx="7">
                  <c:v>Electronics</c:v>
                </c:pt>
                <c:pt idx="8">
                  <c:v>Electronics</c:v>
                </c:pt>
                <c:pt idx="9">
                  <c:v>Apparel</c:v>
                </c:pt>
                <c:pt idx="10">
                  <c:v>Apparel</c:v>
                </c:pt>
                <c:pt idx="11">
                  <c:v>Electronics</c:v>
                </c:pt>
                <c:pt idx="12">
                  <c:v>Electronics</c:v>
                </c:pt>
                <c:pt idx="13">
                  <c:v>Home Decor</c:v>
                </c:pt>
                <c:pt idx="14">
                  <c:v>Home Decor</c:v>
                </c:pt>
                <c:pt idx="15">
                  <c:v>Home Decor</c:v>
                </c:pt>
                <c:pt idx="16">
                  <c:v>Apparel</c:v>
                </c:pt>
                <c:pt idx="17">
                  <c:v>Apparel</c:v>
                </c:pt>
                <c:pt idx="18">
                  <c:v>Electronics</c:v>
                </c:pt>
                <c:pt idx="19">
                  <c:v>Electronics</c:v>
                </c:pt>
                <c:pt idx="20">
                  <c:v>Apparel</c:v>
                </c:pt>
                <c:pt idx="21">
                  <c:v>Home Decor</c:v>
                </c:pt>
                <c:pt idx="22">
                  <c:v>Home Decor</c:v>
                </c:pt>
                <c:pt idx="23">
                  <c:v>Home Decor</c:v>
                </c:pt>
                <c:pt idx="24">
                  <c:v>Apparel</c:v>
                </c:pt>
                <c:pt idx="25">
                  <c:v>Home Decor</c:v>
                </c:pt>
                <c:pt idx="26">
                  <c:v>Home Decor</c:v>
                </c:pt>
                <c:pt idx="27">
                  <c:v>Electronics</c:v>
                </c:pt>
                <c:pt idx="28">
                  <c:v>Apparel</c:v>
                </c:pt>
                <c:pt idx="29">
                  <c:v>Apparel</c:v>
                </c:pt>
                <c:pt idx="30">
                  <c:v>Home Decor</c:v>
                </c:pt>
                <c:pt idx="31">
                  <c:v>Home Decor</c:v>
                </c:pt>
                <c:pt idx="32">
                  <c:v>Apparel</c:v>
                </c:pt>
                <c:pt idx="33">
                  <c:v>Home Decor</c:v>
                </c:pt>
                <c:pt idx="34">
                  <c:v>Electronics</c:v>
                </c:pt>
              </c:strCache>
            </c:strRef>
          </c:cat>
          <c:val>
            <c:numRef>
              <c:f>Sales_Data!$K$4:$K$38</c:f>
              <c:numCache>
                <c:formatCode>General</c:formatCode>
                <c:ptCount val="35"/>
                <c:pt idx="0">
                  <c:v>295791.5</c:v>
                </c:pt>
                <c:pt idx="1">
                  <c:v>798212.8</c:v>
                </c:pt>
                <c:pt idx="2">
                  <c:v>612995.1</c:v>
                </c:pt>
                <c:pt idx="3">
                  <c:v>934955.8</c:v>
                </c:pt>
                <c:pt idx="4">
                  <c:v>4209884</c:v>
                </c:pt>
                <c:pt idx="5">
                  <c:v>4212161.4000000004</c:v>
                </c:pt>
                <c:pt idx="6">
                  <c:v>5113222.5999999996</c:v>
                </c:pt>
                <c:pt idx="7">
                  <c:v>15244832.4</c:v>
                </c:pt>
                <c:pt idx="8">
                  <c:v>3877060.8</c:v>
                </c:pt>
                <c:pt idx="9">
                  <c:v>25080</c:v>
                </c:pt>
                <c:pt idx="10">
                  <c:v>1127984.3999999999</c:v>
                </c:pt>
                <c:pt idx="11">
                  <c:v>4204989</c:v>
                </c:pt>
                <c:pt idx="12">
                  <c:v>6355859.4000000004</c:v>
                </c:pt>
                <c:pt idx="13">
                  <c:v>625465.69999999995</c:v>
                </c:pt>
                <c:pt idx="14">
                  <c:v>1265544</c:v>
                </c:pt>
                <c:pt idx="15">
                  <c:v>2688718.5</c:v>
                </c:pt>
                <c:pt idx="16">
                  <c:v>266923.8</c:v>
                </c:pt>
                <c:pt idx="17">
                  <c:v>460665</c:v>
                </c:pt>
                <c:pt idx="18">
                  <c:v>5319177.5999999996</c:v>
                </c:pt>
                <c:pt idx="19">
                  <c:v>18936832.600000001</c:v>
                </c:pt>
                <c:pt idx="20">
                  <c:v>432459</c:v>
                </c:pt>
                <c:pt idx="21">
                  <c:v>167955.75</c:v>
                </c:pt>
                <c:pt idx="22">
                  <c:v>783978</c:v>
                </c:pt>
                <c:pt idx="23">
                  <c:v>2100636</c:v>
                </c:pt>
                <c:pt idx="24">
                  <c:v>47345.15</c:v>
                </c:pt>
                <c:pt idx="25">
                  <c:v>4100337</c:v>
                </c:pt>
                <c:pt idx="26">
                  <c:v>2500904.7000000002</c:v>
                </c:pt>
                <c:pt idx="27">
                  <c:v>12742196.4</c:v>
                </c:pt>
                <c:pt idx="28">
                  <c:v>10046.25</c:v>
                </c:pt>
                <c:pt idx="29">
                  <c:v>78272</c:v>
                </c:pt>
                <c:pt idx="30">
                  <c:v>3443112</c:v>
                </c:pt>
                <c:pt idx="31">
                  <c:v>426195</c:v>
                </c:pt>
                <c:pt idx="32">
                  <c:v>242035.8</c:v>
                </c:pt>
                <c:pt idx="33">
                  <c:v>229764</c:v>
                </c:pt>
                <c:pt idx="34">
                  <c:v>17099873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C-4066-9D7D-D9ED213FE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117008"/>
        <c:axId val="1269117488"/>
      </c:barChart>
      <c:catAx>
        <c:axId val="12691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17488"/>
        <c:crosses val="autoZero"/>
        <c:auto val="1"/>
        <c:lblAlgn val="ctr"/>
        <c:lblOffset val="100"/>
        <c:noMultiLvlLbl val="0"/>
      </c:catAx>
      <c:valAx>
        <c:axId val="12691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1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1347611</xdr:colOff>
      <xdr:row>40</xdr:row>
      <xdr:rowOff>133585</xdr:rowOff>
    </xdr:from>
    <xdr:to>
      <xdr:col>18</xdr:col>
      <xdr:colOff>126216</xdr:colOff>
      <xdr:row>55</xdr:row>
      <xdr:rowOff>117279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B31D7-9627-FE72-E69B-76A9B42BA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560360</xdr:colOff>
      <xdr:row>40</xdr:row>
      <xdr:rowOff>149059</xdr:rowOff>
    </xdr:from>
    <xdr:to>
      <xdr:col>26</xdr:col>
      <xdr:colOff>230605</xdr:colOff>
      <xdr:row>55</xdr:row>
      <xdr:rowOff>6908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79D0EA-0047-1759-62A7-0B34AF273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907777</xdr:colOff>
      <xdr:row>43</xdr:row>
      <xdr:rowOff>177161</xdr:rowOff>
    </xdr:from>
    <xdr:to>
      <xdr:col>6</xdr:col>
      <xdr:colOff>1160697</xdr:colOff>
      <xdr:row>44</xdr:row>
      <xdr:rowOff>171763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16F0234-0C71-9B77-A598-3469BC96077A}"/>
            </a:ext>
          </a:extLst>
        </xdr:cNvPr>
        <xdr:cNvSpPr/>
      </xdr:nvSpPr>
      <xdr:spPr>
        <a:xfrm>
          <a:off x="7575277" y="8130276"/>
          <a:ext cx="252920" cy="17677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f sheikh" refreshedDate="46078.935405555552" createdVersion="8" refreshedVersion="8" minRefreshableVersion="3" recordCount="35" xr:uid="{8DB9102D-7963-4B99-BC41-6F8006AFB445}">
  <cacheSource type="worksheet">
    <worksheetSource ref="B3:N38" sheet="Sales_Data"/>
  </cacheSource>
  <cacheFields count="13">
    <cacheField name="Transaction id" numFmtId="0">
      <sharedItems containsSemiMixedTypes="0" containsString="0" containsNumber="1" containsInteger="1" minValue="101" maxValue="135"/>
    </cacheField>
    <cacheField name="Date" numFmtId="164">
      <sharedItems containsSemiMixedTypes="0" containsNonDate="0" containsDate="1" containsString="0" minDate="2025-10-02T00:00:00" maxDate="2025-12-31T00:00:00"/>
    </cacheField>
    <cacheField name="Region" numFmtId="0">
      <sharedItems count="4">
        <s v="West"/>
        <s v="East"/>
        <s v="North"/>
        <s v="South"/>
      </sharedItems>
    </cacheField>
    <cacheField name="Product Category" numFmtId="0">
      <sharedItems count="3">
        <s v="Apparel"/>
        <s v="Home Decor"/>
        <s v="Electronics"/>
      </sharedItems>
    </cacheField>
    <cacheField name="Units Sold" numFmtId="0">
      <sharedItems containsSemiMixedTypes="0" containsString="0" containsNumber="1" containsInteger="1" minValue="15" maxValue="483"/>
    </cacheField>
    <cacheField name="Unit Price" numFmtId="0">
      <sharedItems containsSemiMixedTypes="0" containsString="0" containsNumber="1" containsInteger="1" minValue="660" maxValue="47513"/>
    </cacheField>
    <cacheField name="Discount %" numFmtId="9">
      <sharedItems containsSemiMixedTypes="0" containsString="0" containsNumber="1" minValue="0" maxValue="0.15"/>
    </cacheField>
    <cacheField name="Gross Sales" numFmtId="0">
      <sharedItems containsSemiMixedTypes="0" containsString="0" containsNumber="1" containsInteger="1" minValue="10575" maxValue="19933508"/>
    </cacheField>
    <cacheField name="Discount Amount" numFmtId="0">
      <sharedItems containsSemiMixedTypes="0" containsString="0" containsNumber="1" minValue="0" maxValue="1415799.6"/>
    </cacheField>
    <cacheField name="Net Sales" numFmtId="0">
      <sharedItems containsSemiMixedTypes="0" containsString="0" containsNumber="1" minValue="10046.25" maxValue="18936832.600000001"/>
    </cacheField>
    <cacheField name="Tax (18%)" numFmtId="0">
      <sharedItems containsSemiMixedTypes="0" containsString="0" containsNumber="1" minValue="1808.325" maxValue="3408629.8680000002"/>
    </cacheField>
    <cacheField name="Total Revenue" numFmtId="0">
      <sharedItems containsSemiMixedTypes="0" containsString="0" containsNumber="1" minValue="11854.575000000001" maxValue="22345462.468000002"/>
    </cacheField>
    <cacheField name="perfomanc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01"/>
    <d v="2025-11-17T00:00:00"/>
    <x v="0"/>
    <x v="0"/>
    <n v="445"/>
    <n v="782"/>
    <n v="0.15"/>
    <n v="347990"/>
    <n v="52198.5"/>
    <n v="295791.5"/>
    <n v="53242.47"/>
    <n v="349033.97"/>
    <s v="high volume"/>
  </r>
  <r>
    <n v="102"/>
    <d v="2025-10-06T00:00:00"/>
    <x v="1"/>
    <x v="0"/>
    <n v="352"/>
    <n v="2387"/>
    <n v="0.05"/>
    <n v="840224"/>
    <n v="42011.200000000004"/>
    <n v="798212.8"/>
    <n v="143678.304"/>
    <n v="941891.10400000005"/>
    <s v="high volume"/>
  </r>
  <r>
    <n v="103"/>
    <d v="2025-12-19T00:00:00"/>
    <x v="0"/>
    <x v="0"/>
    <n v="366"/>
    <n v="1763"/>
    <n v="0.05"/>
    <n v="645258"/>
    <n v="32262.9"/>
    <n v="612995.1"/>
    <n v="110339.11799999999"/>
    <n v="723334.21799999999"/>
    <s v="high volume"/>
  </r>
  <r>
    <n v="104"/>
    <d v="2025-10-02T00:00:00"/>
    <x v="0"/>
    <x v="1"/>
    <n v="353"/>
    <n v="3116"/>
    <n v="0.15"/>
    <n v="1099948"/>
    <n v="164992.19999999998"/>
    <n v="934955.8"/>
    <n v="168292.04399999999"/>
    <n v="1103247.844"/>
    <s v="high volume"/>
  </r>
  <r>
    <n v="105"/>
    <d v="2025-12-17T00:00:00"/>
    <x v="2"/>
    <x v="1"/>
    <n v="457"/>
    <n v="9212"/>
    <n v="0"/>
    <n v="4209884"/>
    <n v="0"/>
    <n v="4209884"/>
    <n v="757779.12"/>
    <n v="4967663.12"/>
    <s v="high volume"/>
  </r>
  <r>
    <n v="106"/>
    <d v="2025-10-16T00:00:00"/>
    <x v="0"/>
    <x v="1"/>
    <n v="444"/>
    <n v="11161"/>
    <n v="0.15"/>
    <n v="4955484"/>
    <n v="743322.6"/>
    <n v="4212161.4000000004"/>
    <n v="758189.05200000003"/>
    <n v="4970350.4520000005"/>
    <s v="high volume"/>
  </r>
  <r>
    <n v="107"/>
    <d v="2025-11-05T00:00:00"/>
    <x v="0"/>
    <x v="2"/>
    <n v="173"/>
    <n v="34772"/>
    <n v="0.15"/>
    <n v="6015556"/>
    <n v="902333.4"/>
    <n v="5113222.5999999996"/>
    <n v="920380.06799999985"/>
    <n v="6033602.6679999996"/>
    <s v="high volume"/>
  </r>
  <r>
    <n v="108"/>
    <d v="2025-10-16T00:00:00"/>
    <x v="0"/>
    <x v="2"/>
    <n v="483"/>
    <n v="33224"/>
    <n v="0.05"/>
    <n v="16047192"/>
    <n v="802359.60000000009"/>
    <n v="15244832.4"/>
    <n v="2744069.8319999999"/>
    <n v="17988902.232000001"/>
    <s v="high volume"/>
  </r>
  <r>
    <n v="109"/>
    <d v="2025-12-21T00:00:00"/>
    <x v="3"/>
    <x v="2"/>
    <n v="96"/>
    <n v="47513"/>
    <n v="0.15"/>
    <n v="4561248"/>
    <n v="684187.2"/>
    <n v="3877060.8"/>
    <n v="697870.9439999999"/>
    <n v="4574931.7439999999"/>
    <s v="high volume"/>
  </r>
  <r>
    <n v="110"/>
    <d v="2025-11-04T00:00:00"/>
    <x v="0"/>
    <x v="0"/>
    <n v="40"/>
    <n v="660"/>
    <n v="0.05"/>
    <n v="26400"/>
    <n v="1320"/>
    <n v="25080"/>
    <n v="4514.3999999999996"/>
    <n v="29594.400000000001"/>
    <s v="standard"/>
  </r>
  <r>
    <n v="111"/>
    <d v="2025-11-25T00:00:00"/>
    <x v="3"/>
    <x v="0"/>
    <n v="437"/>
    <n v="2868"/>
    <n v="0.1"/>
    <n v="1253316"/>
    <n v="125331.6"/>
    <n v="1127984.3999999999"/>
    <n v="203037.19199999998"/>
    <n v="1331021.5919999999"/>
    <s v="high volume"/>
  </r>
  <r>
    <n v="112"/>
    <d v="2025-11-17T00:00:00"/>
    <x v="3"/>
    <x v="2"/>
    <n v="177"/>
    <n v="23757"/>
    <n v="0"/>
    <n v="4204989"/>
    <n v="0"/>
    <n v="4204989"/>
    <n v="756898.02"/>
    <n v="4961887.0199999996"/>
    <s v="high volume"/>
  </r>
  <r>
    <n v="113"/>
    <d v="2025-11-12T00:00:00"/>
    <x v="1"/>
    <x v="2"/>
    <n v="162"/>
    <n v="43593"/>
    <n v="0.1"/>
    <n v="7062066"/>
    <n v="706206.60000000009"/>
    <n v="6355859.4000000004"/>
    <n v="1144054.692"/>
    <n v="7499914.0920000002"/>
    <s v="high volume"/>
  </r>
  <r>
    <n v="114"/>
    <d v="2025-11-29T00:00:00"/>
    <x v="3"/>
    <x v="1"/>
    <n v="194"/>
    <n v="3793"/>
    <n v="0.15"/>
    <n v="735842"/>
    <n v="110376.3"/>
    <n v="625465.69999999995"/>
    <n v="112583.82599999999"/>
    <n v="738049.52599999995"/>
    <s v="high volume"/>
  </r>
  <r>
    <n v="115"/>
    <d v="2025-10-20T00:00:00"/>
    <x v="1"/>
    <x v="1"/>
    <n v="252"/>
    <n v="5580"/>
    <n v="0.1"/>
    <n v="1406160"/>
    <n v="140616"/>
    <n v="1265544"/>
    <n v="227797.91999999998"/>
    <n v="1493341.92"/>
    <s v="high volume"/>
  </r>
  <r>
    <n v="116"/>
    <d v="2025-10-29T00:00:00"/>
    <x v="0"/>
    <x v="1"/>
    <n v="369"/>
    <n v="7670"/>
    <n v="0.05"/>
    <n v="2830230"/>
    <n v="141511.5"/>
    <n v="2688718.5"/>
    <n v="483969.32999999996"/>
    <n v="3172687.83"/>
    <s v="high volume"/>
  </r>
  <r>
    <n v="117"/>
    <d v="2025-12-01T00:00:00"/>
    <x v="0"/>
    <x v="0"/>
    <n v="122"/>
    <n v="2431"/>
    <n v="0.1"/>
    <n v="296582"/>
    <n v="29658.2"/>
    <n v="266923.8"/>
    <n v="48046.284"/>
    <n v="314970.08399999997"/>
    <s v="high volume"/>
  </r>
  <r>
    <n v="118"/>
    <d v="2025-10-25T00:00:00"/>
    <x v="0"/>
    <x v="0"/>
    <n v="290"/>
    <n v="1765"/>
    <n v="0.1"/>
    <n v="511850"/>
    <n v="51185"/>
    <n v="460665"/>
    <n v="82919.7"/>
    <n v="543584.69999999995"/>
    <s v="high volume"/>
  </r>
  <r>
    <n v="119"/>
    <d v="2025-11-01T00:00:00"/>
    <x v="2"/>
    <x v="2"/>
    <n v="352"/>
    <n v="17778"/>
    <n v="0.15"/>
    <n v="6257856"/>
    <n v="938678.4"/>
    <n v="5319177.5999999996"/>
    <n v="957451.96799999988"/>
    <n v="6276629.568"/>
    <s v="high volume"/>
  </r>
  <r>
    <n v="120"/>
    <d v="2025-10-18T00:00:00"/>
    <x v="0"/>
    <x v="2"/>
    <n v="421"/>
    <n v="47348"/>
    <n v="0.05"/>
    <n v="19933508"/>
    <n v="996675.4"/>
    <n v="18936832.600000001"/>
    <n v="3408629.8680000002"/>
    <n v="22345462.468000002"/>
    <s v="high volume"/>
  </r>
  <r>
    <n v="121"/>
    <d v="2025-10-31T00:00:00"/>
    <x v="2"/>
    <x v="0"/>
    <n v="190"/>
    <n v="2529"/>
    <n v="0.1"/>
    <n v="480510"/>
    <n v="48051"/>
    <n v="432459"/>
    <n v="77842.62"/>
    <n v="510301.62"/>
    <s v="high volume"/>
  </r>
  <r>
    <n v="122"/>
    <d v="2025-11-18T00:00:00"/>
    <x v="3"/>
    <x v="1"/>
    <n v="45"/>
    <n v="4391"/>
    <n v="0.15"/>
    <n v="197595"/>
    <n v="29639.25"/>
    <n v="167955.75"/>
    <n v="30232.035"/>
    <n v="198187.785"/>
    <s v="high volume"/>
  </r>
  <r>
    <n v="123"/>
    <d v="2025-10-14T00:00:00"/>
    <x v="1"/>
    <x v="1"/>
    <n v="130"/>
    <n v="6348"/>
    <n v="0.05"/>
    <n v="825240"/>
    <n v="41262"/>
    <n v="783978"/>
    <n v="141116.04"/>
    <n v="925094.04"/>
    <s v="high volume"/>
  </r>
  <r>
    <n v="124"/>
    <d v="2025-11-11T00:00:00"/>
    <x v="2"/>
    <x v="1"/>
    <n v="387"/>
    <n v="5428"/>
    <n v="0"/>
    <n v="2100636"/>
    <n v="0"/>
    <n v="2100636"/>
    <n v="378114.48"/>
    <n v="2478750.48"/>
    <s v="high volume"/>
  </r>
  <r>
    <n v="125"/>
    <d v="2025-10-20T00:00:00"/>
    <x v="0"/>
    <x v="0"/>
    <n v="43"/>
    <n v="1159"/>
    <n v="0.05"/>
    <n v="49837"/>
    <n v="2491.8500000000004"/>
    <n v="47345.15"/>
    <n v="8522.1270000000004"/>
    <n v="55867.277000000002"/>
    <s v="standard"/>
  </r>
  <r>
    <n v="126"/>
    <d v="2025-11-24T00:00:00"/>
    <x v="0"/>
    <x v="1"/>
    <n v="395"/>
    <n v="11534"/>
    <n v="0.1"/>
    <n v="4555930"/>
    <n v="455593"/>
    <n v="4100337"/>
    <n v="738060.65999999992"/>
    <n v="4838397.66"/>
    <s v="high volume"/>
  </r>
  <r>
    <n v="127"/>
    <d v="2025-11-22T00:00:00"/>
    <x v="2"/>
    <x v="1"/>
    <n v="339"/>
    <n v="8197"/>
    <n v="0.1"/>
    <n v="2778783"/>
    <n v="277878.3"/>
    <n v="2500904.7000000002"/>
    <n v="450162.84600000002"/>
    <n v="2951067.5460000001"/>
    <s v="high volume"/>
  </r>
  <r>
    <n v="128"/>
    <d v="2025-12-30T00:00:00"/>
    <x v="3"/>
    <x v="2"/>
    <n v="339"/>
    <n v="41764"/>
    <n v="0.1"/>
    <n v="14157996"/>
    <n v="1415799.6"/>
    <n v="12742196.4"/>
    <n v="2293595.352"/>
    <n v="15035791.752"/>
    <s v="high volume"/>
  </r>
  <r>
    <n v="129"/>
    <d v="2025-10-29T00:00:00"/>
    <x v="3"/>
    <x v="0"/>
    <n v="15"/>
    <n v="705"/>
    <n v="0.05"/>
    <n v="10575"/>
    <n v="528.75"/>
    <n v="10046.25"/>
    <n v="1808.325"/>
    <n v="11854.575000000001"/>
    <s v="standard"/>
  </r>
  <r>
    <n v="130"/>
    <d v="2025-12-04T00:00:00"/>
    <x v="3"/>
    <x v="0"/>
    <n v="32"/>
    <n v="2446"/>
    <n v="0"/>
    <n v="78272"/>
    <n v="0"/>
    <n v="78272"/>
    <n v="14088.96"/>
    <n v="92360.959999999992"/>
    <s v="standard"/>
  </r>
  <r>
    <n v="131"/>
    <d v="2025-10-13T00:00:00"/>
    <x v="0"/>
    <x v="1"/>
    <n v="306"/>
    <n v="11252"/>
    <n v="0"/>
    <n v="3443112"/>
    <n v="0"/>
    <n v="3443112"/>
    <n v="619760.16"/>
    <n v="4062872.16"/>
    <s v="high volume"/>
  </r>
  <r>
    <n v="132"/>
    <d v="2025-11-27T00:00:00"/>
    <x v="3"/>
    <x v="1"/>
    <n v="75"/>
    <n v="6314"/>
    <n v="0.1"/>
    <n v="473550"/>
    <n v="47355"/>
    <n v="426195"/>
    <n v="76715.099999999991"/>
    <n v="502910.1"/>
    <s v="high volume"/>
  </r>
  <r>
    <n v="133"/>
    <d v="2025-10-16T00:00:00"/>
    <x v="2"/>
    <x v="0"/>
    <n v="244"/>
    <n v="1167"/>
    <n v="0.15"/>
    <n v="284748"/>
    <n v="42712.2"/>
    <n v="242035.8"/>
    <n v="43566.443999999996"/>
    <n v="285602.24400000001"/>
    <s v="high volume"/>
  </r>
  <r>
    <n v="134"/>
    <d v="2025-10-28T00:00:00"/>
    <x v="2"/>
    <x v="1"/>
    <n v="41"/>
    <n v="5604"/>
    <n v="0"/>
    <n v="229764"/>
    <n v="0"/>
    <n v="229764"/>
    <n v="41357.519999999997"/>
    <n v="271121.52"/>
    <s v="high volume"/>
  </r>
  <r>
    <n v="135"/>
    <d v="2025-10-29T00:00:00"/>
    <x v="0"/>
    <x v="2"/>
    <n v="461"/>
    <n v="37093"/>
    <n v="0"/>
    <n v="17099873"/>
    <n v="0"/>
    <n v="17099873"/>
    <n v="3077977.1399999997"/>
    <n v="20177850.140000001"/>
    <s v="high volu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FA934-A5A5-447D-A9CE-D0A342F8F2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4:L56" firstHeaderRow="1" firstDataRow="1" firstDataCol="1"/>
  <pivotFields count="13"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4">
        <item x="0"/>
        <item sd="0" x="2"/>
        <item x="1"/>
        <item t="default"/>
      </items>
    </pivotField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</pivotFields>
  <rowFields count="2">
    <field x="3"/>
    <field x="2"/>
  </rowFields>
  <rowItems count="12">
    <i>
      <x/>
    </i>
    <i r="1">
      <x/>
    </i>
    <i r="1">
      <x v="1"/>
    </i>
    <i r="1">
      <x v="2"/>
    </i>
    <i r="1">
      <x v="3"/>
    </i>
    <i>
      <x v="1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Net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0C62F-C0A5-4795-B8CF-F3E61B28CD2A}" name="Table1" displayName="Table1" ref="C3:H38" totalsRowShown="0" headerRowDxfId="27" dataDxfId="26">
  <autoFilter ref="C3:H38" xr:uid="{91C0C62F-C0A5-4795-B8CF-F3E61B28CD2A}"/>
  <tableColumns count="6">
    <tableColumn id="1" xr3:uid="{82FDB30C-E924-461A-8263-B304135E8DCA}" name="Date" dataDxfId="25"/>
    <tableColumn id="2" xr3:uid="{24CF08CD-6A2E-4D58-8EF1-D81077228442}" name="Region" dataDxfId="24"/>
    <tableColumn id="3" xr3:uid="{B3E11E22-0BE0-4DF3-8964-5961769C1FB3}" name="Product Category" dataDxfId="23"/>
    <tableColumn id="4" xr3:uid="{D44942F4-5EB5-4854-AE53-E42DFF2F8612}" name="Units Sold" dataDxfId="22"/>
    <tableColumn id="5" xr3:uid="{815EA55D-FF0F-4FE4-8D4A-878782619965}" name="Unit Price" dataDxfId="21"/>
    <tableColumn id="6" xr3:uid="{3C2CE603-6265-4889-9C6B-48279AE12782}" name="Discount %" dataDxfId="20" dataCellStyle="Perc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9CDF0-B7B9-47B0-9374-273ED40FA420}" name="Table2" displayName="Table2" ref="I3:N38" totalsRowShown="0" headerRowDxfId="19" dataDxfId="18">
  <autoFilter ref="I3:N38" xr:uid="{0F99CDF0-B7B9-47B0-9374-273ED40FA420}"/>
  <tableColumns count="6">
    <tableColumn id="1" xr3:uid="{D4E4F3C6-A1DD-4CA4-827D-AFE14D464BF0}" name="Gross Sales" dataDxfId="17">
      <calculatedColumnFormula>F4*G4</calculatedColumnFormula>
    </tableColumn>
    <tableColumn id="2" xr3:uid="{6848A5AD-42E5-427A-83BD-5AF38EFAE7AD}" name="Discount Amount" dataDxfId="16">
      <calculatedColumnFormula>H4*I4</calculatedColumnFormula>
    </tableColumn>
    <tableColumn id="3" xr3:uid="{951F38BF-0934-4DE3-ABD5-02ADB9CE930E}" name="Net Sales" dataDxfId="15">
      <calculatedColumnFormula>I4-J4</calculatedColumnFormula>
    </tableColumn>
    <tableColumn id="4" xr3:uid="{363DBEAC-7F06-4AE6-8E6D-D3C6E222C464}" name="Tax (18%)" dataDxfId="14">
      <calculatedColumnFormula>18%*(K4)</calculatedColumnFormula>
    </tableColumn>
    <tableColumn id="5" xr3:uid="{A72EC023-A82A-4468-BA79-203485E030D6}" name="Total Revenue" dataDxfId="13">
      <calculatedColumnFormula>K4+L4</calculatedColumnFormula>
    </tableColumn>
    <tableColumn id="6" xr3:uid="{AC087447-0DE3-40C1-A3D1-F10295D39E63}" name="perfomance status" dataDxfId="12">
      <calculatedColumnFormula>IF(K4&gt;80000,"high volume","standard")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A907EC-0B68-41EF-B2A4-F605796A8DE8}" name="Table5" displayName="Table5" ref="B3:B38" totalsRowShown="0" headerRowDxfId="11" dataDxfId="10" tableBorderDxfId="9">
  <autoFilter ref="B3:B38" xr:uid="{C5A907EC-0B68-41EF-B2A4-F605796A8DE8}"/>
  <tableColumns count="1">
    <tableColumn id="1" xr3:uid="{C34C1349-5E00-4461-9900-24C39A7D13B7}" name="Transaction id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56"/>
  <sheetViews>
    <sheetView tabSelected="1" topLeftCell="B33" zoomScale="73" zoomScaleNormal="81" workbookViewId="0">
      <selection activeCell="H47" sqref="H47"/>
    </sheetView>
  </sheetViews>
  <sheetFormatPr defaultRowHeight="14.5" x14ac:dyDescent="0.35"/>
  <cols>
    <col min="2" max="2" width="17.7265625" customWidth="1"/>
    <col min="3" max="3" width="11.7265625" bestFit="1" customWidth="1"/>
    <col min="4" max="4" width="14" bestFit="1" customWidth="1"/>
    <col min="5" max="5" width="25.90625" bestFit="1" customWidth="1"/>
    <col min="6" max="6" width="17.36328125" bestFit="1" customWidth="1"/>
    <col min="7" max="7" width="17.1796875" bestFit="1" customWidth="1"/>
    <col min="8" max="8" width="18.453125" style="2" bestFit="1" customWidth="1"/>
    <col min="9" max="9" width="15.81640625" bestFit="1" customWidth="1"/>
    <col min="10" max="10" width="22.6328125" bestFit="1" customWidth="1"/>
    <col min="11" max="11" width="13.81640625" bestFit="1" customWidth="1"/>
    <col min="12" max="12" width="14.81640625" customWidth="1"/>
    <col min="13" max="13" width="19.26953125" customWidth="1"/>
    <col min="14" max="14" width="26.26953125" customWidth="1"/>
    <col min="15" max="15" width="11.08984375" bestFit="1" customWidth="1"/>
  </cols>
  <sheetData>
    <row r="3" spans="2:19" ht="18.5" x14ac:dyDescent="0.45">
      <c r="B3" s="15" t="s">
        <v>29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7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23</v>
      </c>
    </row>
    <row r="4" spans="2:19" x14ac:dyDescent="0.35">
      <c r="B4" s="5">
        <v>101</v>
      </c>
      <c r="C4" s="9">
        <v>45978</v>
      </c>
      <c r="D4" s="5" t="s">
        <v>11</v>
      </c>
      <c r="E4" s="5" t="s">
        <v>12</v>
      </c>
      <c r="F4" s="5">
        <v>445</v>
      </c>
      <c r="G4" s="5">
        <v>782</v>
      </c>
      <c r="H4" s="8">
        <v>0.15</v>
      </c>
      <c r="I4" s="5">
        <f t="shared" ref="I4:I38" si="0">F4*G4</f>
        <v>347990</v>
      </c>
      <c r="J4" s="5">
        <f t="shared" ref="J4:J38" si="1">H4*I4</f>
        <v>52198.5</v>
      </c>
      <c r="K4" s="5">
        <f>I4-J4</f>
        <v>295791.5</v>
      </c>
      <c r="L4" s="5">
        <f>18%*(K4)</f>
        <v>53242.47</v>
      </c>
      <c r="M4" s="5">
        <f>K4+L4</f>
        <v>349033.97</v>
      </c>
      <c r="N4" s="5" t="str">
        <f t="shared" ref="N4:N38" si="2">IF(K4&gt;80000,"high volume","standard")</f>
        <v>high volume</v>
      </c>
    </row>
    <row r="5" spans="2:19" x14ac:dyDescent="0.35">
      <c r="B5" s="5">
        <v>102</v>
      </c>
      <c r="C5" s="9">
        <v>45936</v>
      </c>
      <c r="D5" s="5" t="s">
        <v>13</v>
      </c>
      <c r="E5" s="5" t="s">
        <v>12</v>
      </c>
      <c r="F5" s="5">
        <v>352</v>
      </c>
      <c r="G5" s="5">
        <v>2387</v>
      </c>
      <c r="H5" s="8">
        <v>0.05</v>
      </c>
      <c r="I5" s="5">
        <f t="shared" si="0"/>
        <v>840224</v>
      </c>
      <c r="J5" s="5">
        <f t="shared" si="1"/>
        <v>42011.200000000004</v>
      </c>
      <c r="K5" s="5">
        <f t="shared" ref="K5:K38" si="3">I5-J5</f>
        <v>798212.8</v>
      </c>
      <c r="L5" s="5">
        <f t="shared" ref="L5:L38" si="4">18%*(K5)</f>
        <v>143678.304</v>
      </c>
      <c r="M5" s="5">
        <f t="shared" ref="M5:M38" si="5">K5+L5</f>
        <v>941891.10400000005</v>
      </c>
      <c r="N5" s="5" t="str">
        <f t="shared" si="2"/>
        <v>high volume</v>
      </c>
    </row>
    <row r="6" spans="2:19" x14ac:dyDescent="0.35">
      <c r="B6" s="5">
        <v>103</v>
      </c>
      <c r="C6" s="9">
        <v>46010</v>
      </c>
      <c r="D6" s="5" t="s">
        <v>11</v>
      </c>
      <c r="E6" s="5" t="s">
        <v>12</v>
      </c>
      <c r="F6" s="5">
        <v>366</v>
      </c>
      <c r="G6" s="5">
        <v>1763</v>
      </c>
      <c r="H6" s="8">
        <v>0.05</v>
      </c>
      <c r="I6" s="5">
        <f t="shared" si="0"/>
        <v>645258</v>
      </c>
      <c r="J6" s="5">
        <f t="shared" si="1"/>
        <v>32262.9</v>
      </c>
      <c r="K6" s="5">
        <f t="shared" si="3"/>
        <v>612995.1</v>
      </c>
      <c r="L6" s="5">
        <f t="shared" si="4"/>
        <v>110339.11799999999</v>
      </c>
      <c r="M6" s="5">
        <f t="shared" si="5"/>
        <v>723334.21799999999</v>
      </c>
      <c r="N6" s="5" t="str">
        <f t="shared" si="2"/>
        <v>high volume</v>
      </c>
    </row>
    <row r="7" spans="2:19" x14ac:dyDescent="0.35">
      <c r="B7" s="5">
        <v>104</v>
      </c>
      <c r="C7" s="9">
        <v>45932</v>
      </c>
      <c r="D7" s="5" t="s">
        <v>11</v>
      </c>
      <c r="E7" s="5" t="s">
        <v>14</v>
      </c>
      <c r="F7" s="5">
        <v>353</v>
      </c>
      <c r="G7" s="5">
        <v>3116</v>
      </c>
      <c r="H7" s="8">
        <v>0.15</v>
      </c>
      <c r="I7" s="5">
        <f t="shared" si="0"/>
        <v>1099948</v>
      </c>
      <c r="J7" s="5">
        <f t="shared" si="1"/>
        <v>164992.19999999998</v>
      </c>
      <c r="K7" s="5">
        <f t="shared" si="3"/>
        <v>934955.8</v>
      </c>
      <c r="L7" s="5">
        <f t="shared" si="4"/>
        <v>168292.04399999999</v>
      </c>
      <c r="M7" s="5">
        <f t="shared" si="5"/>
        <v>1103247.844</v>
      </c>
      <c r="N7" s="5" t="str">
        <f t="shared" si="2"/>
        <v>high volume</v>
      </c>
    </row>
    <row r="8" spans="2:19" x14ac:dyDescent="0.35">
      <c r="B8" s="5">
        <v>105</v>
      </c>
      <c r="C8" s="9">
        <v>46008</v>
      </c>
      <c r="D8" s="5" t="s">
        <v>15</v>
      </c>
      <c r="E8" s="5" t="s">
        <v>14</v>
      </c>
      <c r="F8" s="5">
        <v>457</v>
      </c>
      <c r="G8" s="5">
        <v>9212</v>
      </c>
      <c r="H8" s="8">
        <v>0</v>
      </c>
      <c r="I8" s="5">
        <f t="shared" si="0"/>
        <v>4209884</v>
      </c>
      <c r="J8" s="5">
        <f t="shared" si="1"/>
        <v>0</v>
      </c>
      <c r="K8" s="5">
        <f t="shared" si="3"/>
        <v>4209884</v>
      </c>
      <c r="L8" s="5">
        <f t="shared" si="4"/>
        <v>757779.12</v>
      </c>
      <c r="M8" s="5">
        <f t="shared" si="5"/>
        <v>4967663.12</v>
      </c>
      <c r="N8" s="5" t="str">
        <f t="shared" si="2"/>
        <v>high volume</v>
      </c>
    </row>
    <row r="9" spans="2:19" x14ac:dyDescent="0.35">
      <c r="B9" s="5">
        <v>106</v>
      </c>
      <c r="C9" s="9">
        <v>45946</v>
      </c>
      <c r="D9" s="5" t="s">
        <v>11</v>
      </c>
      <c r="E9" s="5" t="s">
        <v>14</v>
      </c>
      <c r="F9" s="5">
        <v>444</v>
      </c>
      <c r="G9" s="5">
        <v>11161</v>
      </c>
      <c r="H9" s="8">
        <v>0.15</v>
      </c>
      <c r="I9" s="5">
        <f t="shared" si="0"/>
        <v>4955484</v>
      </c>
      <c r="J9" s="5">
        <f t="shared" si="1"/>
        <v>743322.6</v>
      </c>
      <c r="K9" s="5">
        <f t="shared" si="3"/>
        <v>4212161.4000000004</v>
      </c>
      <c r="L9" s="5">
        <f t="shared" si="4"/>
        <v>758189.05200000003</v>
      </c>
      <c r="M9" s="5">
        <f t="shared" si="5"/>
        <v>4970350.4520000005</v>
      </c>
      <c r="N9" s="5" t="str">
        <f t="shared" si="2"/>
        <v>high volume</v>
      </c>
    </row>
    <row r="10" spans="2:19" x14ac:dyDescent="0.35">
      <c r="B10" s="5">
        <v>107</v>
      </c>
      <c r="C10" s="9">
        <v>45966</v>
      </c>
      <c r="D10" s="5" t="s">
        <v>11</v>
      </c>
      <c r="E10" s="5" t="s">
        <v>16</v>
      </c>
      <c r="F10" s="5">
        <v>173</v>
      </c>
      <c r="G10" s="5">
        <v>34772</v>
      </c>
      <c r="H10" s="8">
        <v>0.15</v>
      </c>
      <c r="I10" s="5">
        <f t="shared" si="0"/>
        <v>6015556</v>
      </c>
      <c r="J10" s="5">
        <f t="shared" si="1"/>
        <v>902333.4</v>
      </c>
      <c r="K10" s="5">
        <f t="shared" si="3"/>
        <v>5113222.5999999996</v>
      </c>
      <c r="L10" s="5">
        <f t="shared" si="4"/>
        <v>920380.06799999985</v>
      </c>
      <c r="M10" s="5">
        <f t="shared" si="5"/>
        <v>6033602.6679999996</v>
      </c>
      <c r="N10" s="5" t="str">
        <f t="shared" si="2"/>
        <v>high volume</v>
      </c>
    </row>
    <row r="11" spans="2:19" x14ac:dyDescent="0.35">
      <c r="B11" s="5">
        <v>108</v>
      </c>
      <c r="C11" s="9">
        <v>45946</v>
      </c>
      <c r="D11" s="5" t="s">
        <v>11</v>
      </c>
      <c r="E11" s="5" t="s">
        <v>16</v>
      </c>
      <c r="F11" s="5">
        <v>483</v>
      </c>
      <c r="G11" s="5">
        <v>33224</v>
      </c>
      <c r="H11" s="8">
        <v>0.05</v>
      </c>
      <c r="I11" s="5">
        <f t="shared" si="0"/>
        <v>16047192</v>
      </c>
      <c r="J11" s="5">
        <f t="shared" si="1"/>
        <v>802359.60000000009</v>
      </c>
      <c r="K11" s="5">
        <f t="shared" si="3"/>
        <v>15244832.4</v>
      </c>
      <c r="L11" s="5">
        <f t="shared" si="4"/>
        <v>2744069.8319999999</v>
      </c>
      <c r="M11" s="5">
        <f t="shared" si="5"/>
        <v>17988902.232000001</v>
      </c>
      <c r="N11" s="5" t="str">
        <f t="shared" si="2"/>
        <v>high volume</v>
      </c>
    </row>
    <row r="12" spans="2:19" x14ac:dyDescent="0.35">
      <c r="B12" s="5">
        <v>109</v>
      </c>
      <c r="C12" s="9">
        <v>46012</v>
      </c>
      <c r="D12" s="5" t="s">
        <v>17</v>
      </c>
      <c r="E12" s="5" t="s">
        <v>16</v>
      </c>
      <c r="F12" s="5">
        <v>96</v>
      </c>
      <c r="G12" s="5">
        <v>47513</v>
      </c>
      <c r="H12" s="8">
        <v>0.15</v>
      </c>
      <c r="I12" s="5">
        <f t="shared" si="0"/>
        <v>4561248</v>
      </c>
      <c r="J12" s="5">
        <f t="shared" si="1"/>
        <v>684187.2</v>
      </c>
      <c r="K12" s="5">
        <f t="shared" si="3"/>
        <v>3877060.8</v>
      </c>
      <c r="L12" s="5">
        <f t="shared" si="4"/>
        <v>697870.9439999999</v>
      </c>
      <c r="M12" s="5">
        <f t="shared" si="5"/>
        <v>4574931.7439999999</v>
      </c>
      <c r="N12" s="5" t="str">
        <f t="shared" si="2"/>
        <v>high volume</v>
      </c>
    </row>
    <row r="13" spans="2:19" x14ac:dyDescent="0.35">
      <c r="B13" s="5">
        <v>110</v>
      </c>
      <c r="C13" s="9">
        <v>45965</v>
      </c>
      <c r="D13" s="5" t="s">
        <v>11</v>
      </c>
      <c r="E13" s="5" t="s">
        <v>12</v>
      </c>
      <c r="F13" s="5">
        <v>40</v>
      </c>
      <c r="G13" s="5">
        <v>660</v>
      </c>
      <c r="H13" s="8">
        <v>0.05</v>
      </c>
      <c r="I13" s="5">
        <f t="shared" si="0"/>
        <v>26400</v>
      </c>
      <c r="J13" s="5">
        <f t="shared" si="1"/>
        <v>1320</v>
      </c>
      <c r="K13" s="5">
        <f t="shared" si="3"/>
        <v>25080</v>
      </c>
      <c r="L13" s="5">
        <f t="shared" si="4"/>
        <v>4514.3999999999996</v>
      </c>
      <c r="M13" s="5">
        <f t="shared" si="5"/>
        <v>29594.400000000001</v>
      </c>
      <c r="N13" s="5" t="str">
        <f t="shared" si="2"/>
        <v>standard</v>
      </c>
    </row>
    <row r="14" spans="2:19" x14ac:dyDescent="0.35">
      <c r="B14" s="5">
        <v>111</v>
      </c>
      <c r="C14" s="9">
        <v>45986</v>
      </c>
      <c r="D14" s="5" t="s">
        <v>17</v>
      </c>
      <c r="E14" s="5" t="s">
        <v>12</v>
      </c>
      <c r="F14" s="5">
        <v>437</v>
      </c>
      <c r="G14" s="5">
        <v>2868</v>
      </c>
      <c r="H14" s="8">
        <v>0.1</v>
      </c>
      <c r="I14" s="5">
        <f t="shared" si="0"/>
        <v>1253316</v>
      </c>
      <c r="J14" s="5">
        <f t="shared" si="1"/>
        <v>125331.6</v>
      </c>
      <c r="K14" s="5">
        <f t="shared" si="3"/>
        <v>1127984.3999999999</v>
      </c>
      <c r="L14" s="5">
        <f t="shared" si="4"/>
        <v>203037.19199999998</v>
      </c>
      <c r="M14" s="5">
        <f t="shared" si="5"/>
        <v>1331021.5919999999</v>
      </c>
      <c r="N14" s="5" t="str">
        <f t="shared" si="2"/>
        <v>high volume</v>
      </c>
    </row>
    <row r="15" spans="2:19" x14ac:dyDescent="0.35">
      <c r="B15" s="5">
        <v>112</v>
      </c>
      <c r="C15" s="9">
        <v>45978</v>
      </c>
      <c r="D15" s="5" t="s">
        <v>17</v>
      </c>
      <c r="E15" s="5" t="s">
        <v>16</v>
      </c>
      <c r="F15" s="5">
        <v>177</v>
      </c>
      <c r="G15" s="5">
        <v>23757</v>
      </c>
      <c r="H15" s="8">
        <v>0</v>
      </c>
      <c r="I15" s="5">
        <f t="shared" si="0"/>
        <v>4204989</v>
      </c>
      <c r="J15" s="5">
        <f t="shared" si="1"/>
        <v>0</v>
      </c>
      <c r="K15" s="5">
        <f t="shared" si="3"/>
        <v>4204989</v>
      </c>
      <c r="L15" s="5">
        <f t="shared" si="4"/>
        <v>756898.02</v>
      </c>
      <c r="M15" s="5">
        <f t="shared" si="5"/>
        <v>4961887.0199999996</v>
      </c>
      <c r="N15" s="5" t="str">
        <f t="shared" si="2"/>
        <v>high volume</v>
      </c>
    </row>
    <row r="16" spans="2:19" ht="15.5" x14ac:dyDescent="0.35">
      <c r="B16" s="5">
        <v>113</v>
      </c>
      <c r="C16" s="9">
        <v>45973</v>
      </c>
      <c r="D16" s="5" t="s">
        <v>13</v>
      </c>
      <c r="E16" s="5" t="s">
        <v>16</v>
      </c>
      <c r="F16" s="5">
        <v>162</v>
      </c>
      <c r="G16" s="5">
        <v>43593</v>
      </c>
      <c r="H16" s="8">
        <v>0.1</v>
      </c>
      <c r="I16" s="5">
        <f t="shared" si="0"/>
        <v>7062066</v>
      </c>
      <c r="J16" s="5">
        <f t="shared" si="1"/>
        <v>706206.60000000009</v>
      </c>
      <c r="K16" s="5">
        <f t="shared" si="3"/>
        <v>6355859.4000000004</v>
      </c>
      <c r="L16" s="5">
        <f t="shared" si="4"/>
        <v>1144054.692</v>
      </c>
      <c r="M16" s="5">
        <f t="shared" si="5"/>
        <v>7499914.0920000002</v>
      </c>
      <c r="N16" s="5" t="str">
        <f t="shared" si="2"/>
        <v>high volume</v>
      </c>
      <c r="S16" s="1"/>
    </row>
    <row r="17" spans="2:14" x14ac:dyDescent="0.35">
      <c r="B17" s="5">
        <v>114</v>
      </c>
      <c r="C17" s="9">
        <v>45990</v>
      </c>
      <c r="D17" s="5" t="s">
        <v>17</v>
      </c>
      <c r="E17" s="5" t="s">
        <v>14</v>
      </c>
      <c r="F17" s="5">
        <v>194</v>
      </c>
      <c r="G17" s="5">
        <v>3793</v>
      </c>
      <c r="H17" s="8">
        <v>0.15</v>
      </c>
      <c r="I17" s="5">
        <f t="shared" si="0"/>
        <v>735842</v>
      </c>
      <c r="J17" s="5">
        <f t="shared" si="1"/>
        <v>110376.3</v>
      </c>
      <c r="K17" s="5">
        <f t="shared" si="3"/>
        <v>625465.69999999995</v>
      </c>
      <c r="L17" s="5">
        <f t="shared" si="4"/>
        <v>112583.82599999999</v>
      </c>
      <c r="M17" s="5">
        <f t="shared" si="5"/>
        <v>738049.52599999995</v>
      </c>
      <c r="N17" s="5" t="str">
        <f t="shared" si="2"/>
        <v>high volume</v>
      </c>
    </row>
    <row r="18" spans="2:14" x14ac:dyDescent="0.35">
      <c r="B18" s="5">
        <v>115</v>
      </c>
      <c r="C18" s="9">
        <v>45950</v>
      </c>
      <c r="D18" s="5" t="s">
        <v>13</v>
      </c>
      <c r="E18" s="5" t="s">
        <v>14</v>
      </c>
      <c r="F18" s="5">
        <v>252</v>
      </c>
      <c r="G18" s="5">
        <v>5580</v>
      </c>
      <c r="H18" s="8">
        <v>0.1</v>
      </c>
      <c r="I18" s="5">
        <f t="shared" si="0"/>
        <v>1406160</v>
      </c>
      <c r="J18" s="5">
        <f t="shared" si="1"/>
        <v>140616</v>
      </c>
      <c r="K18" s="5">
        <f t="shared" si="3"/>
        <v>1265544</v>
      </c>
      <c r="L18" s="5">
        <f t="shared" si="4"/>
        <v>227797.91999999998</v>
      </c>
      <c r="M18" s="5">
        <f t="shared" si="5"/>
        <v>1493341.92</v>
      </c>
      <c r="N18" s="5" t="str">
        <f t="shared" si="2"/>
        <v>high volume</v>
      </c>
    </row>
    <row r="19" spans="2:14" x14ac:dyDescent="0.35">
      <c r="B19" s="5">
        <v>116</v>
      </c>
      <c r="C19" s="9">
        <v>45959</v>
      </c>
      <c r="D19" s="5" t="s">
        <v>11</v>
      </c>
      <c r="E19" s="5" t="s">
        <v>14</v>
      </c>
      <c r="F19" s="5">
        <v>369</v>
      </c>
      <c r="G19" s="5">
        <v>7670</v>
      </c>
      <c r="H19" s="8">
        <v>0.05</v>
      </c>
      <c r="I19" s="5">
        <f t="shared" si="0"/>
        <v>2830230</v>
      </c>
      <c r="J19" s="5">
        <f t="shared" si="1"/>
        <v>141511.5</v>
      </c>
      <c r="K19" s="5">
        <f t="shared" si="3"/>
        <v>2688718.5</v>
      </c>
      <c r="L19" s="5">
        <f t="shared" si="4"/>
        <v>483969.32999999996</v>
      </c>
      <c r="M19" s="5">
        <f t="shared" si="5"/>
        <v>3172687.83</v>
      </c>
      <c r="N19" s="5" t="str">
        <f t="shared" si="2"/>
        <v>high volume</v>
      </c>
    </row>
    <row r="20" spans="2:14" x14ac:dyDescent="0.35">
      <c r="B20" s="5">
        <v>117</v>
      </c>
      <c r="C20" s="9">
        <v>45992</v>
      </c>
      <c r="D20" s="5" t="s">
        <v>11</v>
      </c>
      <c r="E20" s="5" t="s">
        <v>12</v>
      </c>
      <c r="F20" s="5">
        <v>122</v>
      </c>
      <c r="G20" s="5">
        <v>2431</v>
      </c>
      <c r="H20" s="8">
        <v>0.1</v>
      </c>
      <c r="I20" s="5">
        <f t="shared" si="0"/>
        <v>296582</v>
      </c>
      <c r="J20" s="5">
        <f t="shared" si="1"/>
        <v>29658.2</v>
      </c>
      <c r="K20" s="5">
        <f t="shared" si="3"/>
        <v>266923.8</v>
      </c>
      <c r="L20" s="5">
        <f t="shared" si="4"/>
        <v>48046.284</v>
      </c>
      <c r="M20" s="5">
        <f t="shared" si="5"/>
        <v>314970.08399999997</v>
      </c>
      <c r="N20" s="5" t="str">
        <f t="shared" si="2"/>
        <v>high volume</v>
      </c>
    </row>
    <row r="21" spans="2:14" x14ac:dyDescent="0.35">
      <c r="B21" s="5">
        <v>118</v>
      </c>
      <c r="C21" s="9">
        <v>45955</v>
      </c>
      <c r="D21" s="5" t="s">
        <v>11</v>
      </c>
      <c r="E21" s="5" t="s">
        <v>12</v>
      </c>
      <c r="F21" s="5">
        <v>290</v>
      </c>
      <c r="G21" s="5">
        <v>1765</v>
      </c>
      <c r="H21" s="8">
        <v>0.1</v>
      </c>
      <c r="I21" s="5">
        <f t="shared" si="0"/>
        <v>511850</v>
      </c>
      <c r="J21" s="5">
        <f t="shared" si="1"/>
        <v>51185</v>
      </c>
      <c r="K21" s="5">
        <f t="shared" si="3"/>
        <v>460665</v>
      </c>
      <c r="L21" s="5">
        <f t="shared" si="4"/>
        <v>82919.7</v>
      </c>
      <c r="M21" s="5">
        <f t="shared" si="5"/>
        <v>543584.69999999995</v>
      </c>
      <c r="N21" s="5" t="str">
        <f t="shared" si="2"/>
        <v>high volume</v>
      </c>
    </row>
    <row r="22" spans="2:14" x14ac:dyDescent="0.35">
      <c r="B22" s="5">
        <v>119</v>
      </c>
      <c r="C22" s="9">
        <v>45962</v>
      </c>
      <c r="D22" s="5" t="s">
        <v>15</v>
      </c>
      <c r="E22" s="5" t="s">
        <v>16</v>
      </c>
      <c r="F22" s="5">
        <v>352</v>
      </c>
      <c r="G22" s="5">
        <v>17778</v>
      </c>
      <c r="H22" s="8">
        <v>0.15</v>
      </c>
      <c r="I22" s="5">
        <f t="shared" si="0"/>
        <v>6257856</v>
      </c>
      <c r="J22" s="5">
        <f t="shared" si="1"/>
        <v>938678.4</v>
      </c>
      <c r="K22" s="5">
        <f t="shared" si="3"/>
        <v>5319177.5999999996</v>
      </c>
      <c r="L22" s="5">
        <f t="shared" si="4"/>
        <v>957451.96799999988</v>
      </c>
      <c r="M22" s="5">
        <f t="shared" si="5"/>
        <v>6276629.568</v>
      </c>
      <c r="N22" s="5" t="str">
        <f t="shared" si="2"/>
        <v>high volume</v>
      </c>
    </row>
    <row r="23" spans="2:14" x14ac:dyDescent="0.35">
      <c r="B23" s="5">
        <v>120</v>
      </c>
      <c r="C23" s="9">
        <v>45948</v>
      </c>
      <c r="D23" s="5" t="s">
        <v>11</v>
      </c>
      <c r="E23" s="5" t="s">
        <v>16</v>
      </c>
      <c r="F23" s="5">
        <v>421</v>
      </c>
      <c r="G23" s="5">
        <v>47348</v>
      </c>
      <c r="H23" s="8">
        <v>0.05</v>
      </c>
      <c r="I23" s="5">
        <f t="shared" si="0"/>
        <v>19933508</v>
      </c>
      <c r="J23" s="5">
        <f t="shared" si="1"/>
        <v>996675.4</v>
      </c>
      <c r="K23" s="5">
        <f t="shared" si="3"/>
        <v>18936832.600000001</v>
      </c>
      <c r="L23" s="5">
        <f t="shared" si="4"/>
        <v>3408629.8680000002</v>
      </c>
      <c r="M23" s="5">
        <f t="shared" si="5"/>
        <v>22345462.468000002</v>
      </c>
      <c r="N23" s="5" t="str">
        <f t="shared" si="2"/>
        <v>high volume</v>
      </c>
    </row>
    <row r="24" spans="2:14" x14ac:dyDescent="0.35">
      <c r="B24" s="5">
        <v>121</v>
      </c>
      <c r="C24" s="9">
        <v>45961</v>
      </c>
      <c r="D24" s="5" t="s">
        <v>15</v>
      </c>
      <c r="E24" s="5" t="s">
        <v>12</v>
      </c>
      <c r="F24" s="5">
        <v>190</v>
      </c>
      <c r="G24" s="5">
        <v>2529</v>
      </c>
      <c r="H24" s="8">
        <v>0.1</v>
      </c>
      <c r="I24" s="5">
        <f t="shared" si="0"/>
        <v>480510</v>
      </c>
      <c r="J24" s="5">
        <f t="shared" si="1"/>
        <v>48051</v>
      </c>
      <c r="K24" s="5">
        <f t="shared" si="3"/>
        <v>432459</v>
      </c>
      <c r="L24" s="5">
        <f t="shared" si="4"/>
        <v>77842.62</v>
      </c>
      <c r="M24" s="5">
        <f t="shared" si="5"/>
        <v>510301.62</v>
      </c>
      <c r="N24" s="5" t="str">
        <f t="shared" si="2"/>
        <v>high volume</v>
      </c>
    </row>
    <row r="25" spans="2:14" x14ac:dyDescent="0.35">
      <c r="B25" s="5">
        <v>122</v>
      </c>
      <c r="C25" s="9">
        <v>45979</v>
      </c>
      <c r="D25" s="5" t="s">
        <v>17</v>
      </c>
      <c r="E25" s="5" t="s">
        <v>14</v>
      </c>
      <c r="F25" s="5">
        <v>45</v>
      </c>
      <c r="G25" s="5">
        <v>4391</v>
      </c>
      <c r="H25" s="8">
        <v>0.15</v>
      </c>
      <c r="I25" s="5">
        <f t="shared" si="0"/>
        <v>197595</v>
      </c>
      <c r="J25" s="5">
        <f t="shared" si="1"/>
        <v>29639.25</v>
      </c>
      <c r="K25" s="5">
        <f t="shared" si="3"/>
        <v>167955.75</v>
      </c>
      <c r="L25" s="5">
        <f t="shared" si="4"/>
        <v>30232.035</v>
      </c>
      <c r="M25" s="5">
        <f t="shared" si="5"/>
        <v>198187.785</v>
      </c>
      <c r="N25" s="5" t="str">
        <f t="shared" si="2"/>
        <v>high volume</v>
      </c>
    </row>
    <row r="26" spans="2:14" x14ac:dyDescent="0.35">
      <c r="B26" s="5">
        <v>123</v>
      </c>
      <c r="C26" s="9">
        <v>45944</v>
      </c>
      <c r="D26" s="5" t="s">
        <v>13</v>
      </c>
      <c r="E26" s="5" t="s">
        <v>14</v>
      </c>
      <c r="F26" s="5">
        <v>130</v>
      </c>
      <c r="G26" s="5">
        <v>6348</v>
      </c>
      <c r="H26" s="8">
        <v>0.05</v>
      </c>
      <c r="I26" s="5">
        <f t="shared" si="0"/>
        <v>825240</v>
      </c>
      <c r="J26" s="5">
        <f t="shared" si="1"/>
        <v>41262</v>
      </c>
      <c r="K26" s="5">
        <f t="shared" si="3"/>
        <v>783978</v>
      </c>
      <c r="L26" s="5">
        <f t="shared" si="4"/>
        <v>141116.04</v>
      </c>
      <c r="M26" s="5">
        <f t="shared" si="5"/>
        <v>925094.04</v>
      </c>
      <c r="N26" s="5" t="str">
        <f t="shared" si="2"/>
        <v>high volume</v>
      </c>
    </row>
    <row r="27" spans="2:14" x14ac:dyDescent="0.35">
      <c r="B27" s="5">
        <v>124</v>
      </c>
      <c r="C27" s="9">
        <v>45972</v>
      </c>
      <c r="D27" s="5" t="s">
        <v>15</v>
      </c>
      <c r="E27" s="5" t="s">
        <v>14</v>
      </c>
      <c r="F27" s="5">
        <v>387</v>
      </c>
      <c r="G27" s="5">
        <v>5428</v>
      </c>
      <c r="H27" s="8">
        <v>0</v>
      </c>
      <c r="I27" s="5">
        <f t="shared" si="0"/>
        <v>2100636</v>
      </c>
      <c r="J27" s="5">
        <f t="shared" si="1"/>
        <v>0</v>
      </c>
      <c r="K27" s="5">
        <f t="shared" si="3"/>
        <v>2100636</v>
      </c>
      <c r="L27" s="5">
        <f t="shared" si="4"/>
        <v>378114.48</v>
      </c>
      <c r="M27" s="5">
        <f t="shared" si="5"/>
        <v>2478750.48</v>
      </c>
      <c r="N27" s="5" t="str">
        <f t="shared" si="2"/>
        <v>high volume</v>
      </c>
    </row>
    <row r="28" spans="2:14" x14ac:dyDescent="0.35">
      <c r="B28" s="5">
        <v>125</v>
      </c>
      <c r="C28" s="9">
        <v>45950</v>
      </c>
      <c r="D28" s="5" t="s">
        <v>11</v>
      </c>
      <c r="E28" s="5" t="s">
        <v>12</v>
      </c>
      <c r="F28" s="5">
        <v>43</v>
      </c>
      <c r="G28" s="5">
        <v>1159</v>
      </c>
      <c r="H28" s="8">
        <v>0.05</v>
      </c>
      <c r="I28" s="5">
        <f t="shared" si="0"/>
        <v>49837</v>
      </c>
      <c r="J28" s="5">
        <f t="shared" si="1"/>
        <v>2491.8500000000004</v>
      </c>
      <c r="K28" s="5">
        <f t="shared" si="3"/>
        <v>47345.15</v>
      </c>
      <c r="L28" s="5">
        <f t="shared" si="4"/>
        <v>8522.1270000000004</v>
      </c>
      <c r="M28" s="5">
        <f t="shared" si="5"/>
        <v>55867.277000000002</v>
      </c>
      <c r="N28" s="5" t="str">
        <f t="shared" si="2"/>
        <v>standard</v>
      </c>
    </row>
    <row r="29" spans="2:14" x14ac:dyDescent="0.35">
      <c r="B29" s="5">
        <v>126</v>
      </c>
      <c r="C29" s="9">
        <v>45985</v>
      </c>
      <c r="D29" s="5" t="s">
        <v>11</v>
      </c>
      <c r="E29" s="5" t="s">
        <v>14</v>
      </c>
      <c r="F29" s="5">
        <v>395</v>
      </c>
      <c r="G29" s="5">
        <v>11534</v>
      </c>
      <c r="H29" s="8">
        <v>0.1</v>
      </c>
      <c r="I29" s="5">
        <f t="shared" si="0"/>
        <v>4555930</v>
      </c>
      <c r="J29" s="5">
        <f t="shared" si="1"/>
        <v>455593</v>
      </c>
      <c r="K29" s="5">
        <f t="shared" si="3"/>
        <v>4100337</v>
      </c>
      <c r="L29" s="5">
        <f t="shared" si="4"/>
        <v>738060.65999999992</v>
      </c>
      <c r="M29" s="5">
        <f t="shared" si="5"/>
        <v>4838397.66</v>
      </c>
      <c r="N29" s="5" t="str">
        <f t="shared" si="2"/>
        <v>high volume</v>
      </c>
    </row>
    <row r="30" spans="2:14" x14ac:dyDescent="0.35">
      <c r="B30" s="5">
        <v>127</v>
      </c>
      <c r="C30" s="9">
        <v>45983</v>
      </c>
      <c r="D30" s="5" t="s">
        <v>15</v>
      </c>
      <c r="E30" s="5" t="s">
        <v>14</v>
      </c>
      <c r="F30" s="5">
        <v>339</v>
      </c>
      <c r="G30" s="5">
        <v>8197</v>
      </c>
      <c r="H30" s="8">
        <v>0.1</v>
      </c>
      <c r="I30" s="5">
        <f t="shared" si="0"/>
        <v>2778783</v>
      </c>
      <c r="J30" s="5">
        <f t="shared" si="1"/>
        <v>277878.3</v>
      </c>
      <c r="K30" s="5">
        <f t="shared" si="3"/>
        <v>2500904.7000000002</v>
      </c>
      <c r="L30" s="5">
        <f t="shared" si="4"/>
        <v>450162.84600000002</v>
      </c>
      <c r="M30" s="5">
        <f t="shared" si="5"/>
        <v>2951067.5460000001</v>
      </c>
      <c r="N30" s="5" t="str">
        <f t="shared" si="2"/>
        <v>high volume</v>
      </c>
    </row>
    <row r="31" spans="2:14" x14ac:dyDescent="0.35">
      <c r="B31" s="5">
        <v>128</v>
      </c>
      <c r="C31" s="9">
        <v>46021</v>
      </c>
      <c r="D31" s="5" t="s">
        <v>17</v>
      </c>
      <c r="E31" s="5" t="s">
        <v>16</v>
      </c>
      <c r="F31" s="5">
        <v>339</v>
      </c>
      <c r="G31" s="5">
        <v>41764</v>
      </c>
      <c r="H31" s="8">
        <v>0.1</v>
      </c>
      <c r="I31" s="5">
        <f t="shared" si="0"/>
        <v>14157996</v>
      </c>
      <c r="J31" s="5">
        <f t="shared" si="1"/>
        <v>1415799.6</v>
      </c>
      <c r="K31" s="5">
        <f t="shared" si="3"/>
        <v>12742196.4</v>
      </c>
      <c r="L31" s="5">
        <f t="shared" si="4"/>
        <v>2293595.352</v>
      </c>
      <c r="M31" s="5">
        <f t="shared" si="5"/>
        <v>15035791.752</v>
      </c>
      <c r="N31" s="5" t="str">
        <f t="shared" si="2"/>
        <v>high volume</v>
      </c>
    </row>
    <row r="32" spans="2:14" x14ac:dyDescent="0.35">
      <c r="B32" s="5">
        <v>129</v>
      </c>
      <c r="C32" s="9">
        <v>45959</v>
      </c>
      <c r="D32" s="5" t="s">
        <v>17</v>
      </c>
      <c r="E32" s="5" t="s">
        <v>12</v>
      </c>
      <c r="F32" s="5">
        <v>15</v>
      </c>
      <c r="G32" s="5">
        <v>705</v>
      </c>
      <c r="H32" s="8">
        <v>0.05</v>
      </c>
      <c r="I32" s="5">
        <f t="shared" si="0"/>
        <v>10575</v>
      </c>
      <c r="J32" s="5">
        <f t="shared" si="1"/>
        <v>528.75</v>
      </c>
      <c r="K32" s="5">
        <f t="shared" si="3"/>
        <v>10046.25</v>
      </c>
      <c r="L32" s="5">
        <f t="shared" si="4"/>
        <v>1808.325</v>
      </c>
      <c r="M32" s="5">
        <f t="shared" si="5"/>
        <v>11854.575000000001</v>
      </c>
      <c r="N32" s="5" t="str">
        <f t="shared" si="2"/>
        <v>standard</v>
      </c>
    </row>
    <row r="33" spans="2:14" x14ac:dyDescent="0.35">
      <c r="B33" s="5">
        <v>130</v>
      </c>
      <c r="C33" s="9">
        <v>45995</v>
      </c>
      <c r="D33" s="5" t="s">
        <v>17</v>
      </c>
      <c r="E33" s="5" t="s">
        <v>12</v>
      </c>
      <c r="F33" s="5">
        <v>32</v>
      </c>
      <c r="G33" s="5">
        <v>2446</v>
      </c>
      <c r="H33" s="8">
        <v>0</v>
      </c>
      <c r="I33" s="5">
        <f t="shared" si="0"/>
        <v>78272</v>
      </c>
      <c r="J33" s="5">
        <f t="shared" si="1"/>
        <v>0</v>
      </c>
      <c r="K33" s="5">
        <f t="shared" si="3"/>
        <v>78272</v>
      </c>
      <c r="L33" s="5">
        <f t="shared" si="4"/>
        <v>14088.96</v>
      </c>
      <c r="M33" s="5">
        <f t="shared" si="5"/>
        <v>92360.959999999992</v>
      </c>
      <c r="N33" s="5" t="str">
        <f t="shared" si="2"/>
        <v>standard</v>
      </c>
    </row>
    <row r="34" spans="2:14" x14ac:dyDescent="0.35">
      <c r="B34" s="5">
        <v>131</v>
      </c>
      <c r="C34" s="9">
        <v>45943</v>
      </c>
      <c r="D34" s="5" t="s">
        <v>11</v>
      </c>
      <c r="E34" s="5" t="s">
        <v>14</v>
      </c>
      <c r="F34" s="5">
        <v>306</v>
      </c>
      <c r="G34" s="5">
        <v>11252</v>
      </c>
      <c r="H34" s="8">
        <v>0</v>
      </c>
      <c r="I34" s="5">
        <f t="shared" si="0"/>
        <v>3443112</v>
      </c>
      <c r="J34" s="5">
        <f t="shared" si="1"/>
        <v>0</v>
      </c>
      <c r="K34" s="5">
        <f t="shared" si="3"/>
        <v>3443112</v>
      </c>
      <c r="L34" s="5">
        <f t="shared" si="4"/>
        <v>619760.16</v>
      </c>
      <c r="M34" s="5">
        <f t="shared" si="5"/>
        <v>4062872.16</v>
      </c>
      <c r="N34" s="5" t="str">
        <f t="shared" si="2"/>
        <v>high volume</v>
      </c>
    </row>
    <row r="35" spans="2:14" x14ac:dyDescent="0.35">
      <c r="B35" s="5">
        <v>132</v>
      </c>
      <c r="C35" s="9">
        <v>45988</v>
      </c>
      <c r="D35" s="5" t="s">
        <v>17</v>
      </c>
      <c r="E35" s="5" t="s">
        <v>14</v>
      </c>
      <c r="F35" s="5">
        <v>75</v>
      </c>
      <c r="G35" s="5">
        <v>6314</v>
      </c>
      <c r="H35" s="8">
        <v>0.1</v>
      </c>
      <c r="I35" s="5">
        <f t="shared" si="0"/>
        <v>473550</v>
      </c>
      <c r="J35" s="5">
        <f t="shared" si="1"/>
        <v>47355</v>
      </c>
      <c r="K35" s="5">
        <f t="shared" si="3"/>
        <v>426195</v>
      </c>
      <c r="L35" s="5">
        <f t="shared" si="4"/>
        <v>76715.099999999991</v>
      </c>
      <c r="M35" s="5">
        <f t="shared" si="5"/>
        <v>502910.1</v>
      </c>
      <c r="N35" s="5" t="str">
        <f t="shared" si="2"/>
        <v>high volume</v>
      </c>
    </row>
    <row r="36" spans="2:14" x14ac:dyDescent="0.35">
      <c r="B36" s="5">
        <v>133</v>
      </c>
      <c r="C36" s="9">
        <v>45946</v>
      </c>
      <c r="D36" s="5" t="s">
        <v>15</v>
      </c>
      <c r="E36" s="5" t="s">
        <v>12</v>
      </c>
      <c r="F36" s="5">
        <v>244</v>
      </c>
      <c r="G36" s="5">
        <v>1167</v>
      </c>
      <c r="H36" s="8">
        <v>0.15</v>
      </c>
      <c r="I36" s="5">
        <f t="shared" si="0"/>
        <v>284748</v>
      </c>
      <c r="J36" s="5">
        <f t="shared" si="1"/>
        <v>42712.2</v>
      </c>
      <c r="K36" s="5">
        <f t="shared" si="3"/>
        <v>242035.8</v>
      </c>
      <c r="L36" s="5">
        <f t="shared" si="4"/>
        <v>43566.443999999996</v>
      </c>
      <c r="M36" s="5">
        <f t="shared" si="5"/>
        <v>285602.24400000001</v>
      </c>
      <c r="N36" s="5" t="str">
        <f t="shared" si="2"/>
        <v>high volume</v>
      </c>
    </row>
    <row r="37" spans="2:14" x14ac:dyDescent="0.35">
      <c r="B37" s="5">
        <v>134</v>
      </c>
      <c r="C37" s="9">
        <v>45958</v>
      </c>
      <c r="D37" s="5" t="s">
        <v>15</v>
      </c>
      <c r="E37" s="5" t="s">
        <v>14</v>
      </c>
      <c r="F37" s="5">
        <v>41</v>
      </c>
      <c r="G37" s="5">
        <v>5604</v>
      </c>
      <c r="H37" s="8">
        <v>0</v>
      </c>
      <c r="I37" s="5">
        <f t="shared" si="0"/>
        <v>229764</v>
      </c>
      <c r="J37" s="5">
        <f t="shared" si="1"/>
        <v>0</v>
      </c>
      <c r="K37" s="5">
        <f t="shared" si="3"/>
        <v>229764</v>
      </c>
      <c r="L37" s="5">
        <f t="shared" si="4"/>
        <v>41357.519999999997</v>
      </c>
      <c r="M37" s="5">
        <f t="shared" si="5"/>
        <v>271121.52</v>
      </c>
      <c r="N37" s="5" t="str">
        <f t="shared" si="2"/>
        <v>high volume</v>
      </c>
    </row>
    <row r="38" spans="2:14" x14ac:dyDescent="0.35">
      <c r="B38" s="5">
        <v>135</v>
      </c>
      <c r="C38" s="9">
        <v>45959</v>
      </c>
      <c r="D38" s="5" t="s">
        <v>11</v>
      </c>
      <c r="E38" s="5" t="s">
        <v>16</v>
      </c>
      <c r="F38" s="5">
        <v>461</v>
      </c>
      <c r="G38" s="5">
        <v>37093</v>
      </c>
      <c r="H38" s="8">
        <v>0</v>
      </c>
      <c r="I38" s="5">
        <f t="shared" si="0"/>
        <v>17099873</v>
      </c>
      <c r="J38" s="5">
        <f t="shared" si="1"/>
        <v>0</v>
      </c>
      <c r="K38" s="5">
        <f t="shared" si="3"/>
        <v>17099873</v>
      </c>
      <c r="L38" s="5">
        <f t="shared" si="4"/>
        <v>3077977.1399999997</v>
      </c>
      <c r="M38" s="5">
        <f t="shared" si="5"/>
        <v>20177850.140000001</v>
      </c>
      <c r="N38" s="5" t="str">
        <f t="shared" si="2"/>
        <v>high volume</v>
      </c>
    </row>
    <row r="42" spans="2:14" ht="18.5" customHeight="1" x14ac:dyDescent="0.45">
      <c r="E42" s="19" t="s">
        <v>18</v>
      </c>
      <c r="F42" s="20"/>
      <c r="H42" s="23" t="s">
        <v>26</v>
      </c>
      <c r="I42" s="23"/>
      <c r="K42" s="24" t="s">
        <v>33</v>
      </c>
      <c r="L42" s="24"/>
    </row>
    <row r="43" spans="2:14" ht="14.5" customHeight="1" x14ac:dyDescent="0.35">
      <c r="E43" s="21"/>
      <c r="F43" s="22"/>
      <c r="H43" s="23"/>
      <c r="I43" s="23"/>
    </row>
    <row r="44" spans="2:14" x14ac:dyDescent="0.35">
      <c r="E44" s="6"/>
      <c r="F44" s="6"/>
      <c r="H44" s="11" t="s">
        <v>27</v>
      </c>
      <c r="I44" s="12" t="s">
        <v>28</v>
      </c>
      <c r="K44" s="16" t="s">
        <v>30</v>
      </c>
      <c r="L44" t="s">
        <v>32</v>
      </c>
    </row>
    <row r="45" spans="2:14" x14ac:dyDescent="0.35">
      <c r="E45" s="6" t="s">
        <v>19</v>
      </c>
      <c r="F45" s="6">
        <f>SUM(M4:M38)</f>
        <v>142758130.41100001</v>
      </c>
      <c r="H45" s="13">
        <v>117</v>
      </c>
      <c r="I45" s="14">
        <f>VLOOKUP(H45,B4:N38,12,FALSE)</f>
        <v>314970.08399999997</v>
      </c>
      <c r="K45" s="17" t="s">
        <v>12</v>
      </c>
      <c r="L45">
        <v>4397810.8</v>
      </c>
    </row>
    <row r="46" spans="2:14" x14ac:dyDescent="0.35">
      <c r="E46" s="6" t="s">
        <v>20</v>
      </c>
      <c r="F46" s="6">
        <f>AVERAGE(M4:M38)</f>
        <v>4078803.7260285718</v>
      </c>
      <c r="H46" s="10"/>
      <c r="K46" s="18" t="s">
        <v>13</v>
      </c>
      <c r="L46">
        <v>798212.8</v>
      </c>
    </row>
    <row r="47" spans="2:14" x14ac:dyDescent="0.35">
      <c r="E47" s="6" t="s">
        <v>21</v>
      </c>
      <c r="F47" s="6">
        <f>MAX(M4:M38)</f>
        <v>22345462.468000002</v>
      </c>
      <c r="H47" s="10"/>
      <c r="K47" s="18" t="s">
        <v>15</v>
      </c>
      <c r="L47">
        <v>674494.8</v>
      </c>
    </row>
    <row r="48" spans="2:14" x14ac:dyDescent="0.35">
      <c r="E48" s="6" t="s">
        <v>22</v>
      </c>
      <c r="F48" s="6">
        <f>COUNT(M4:M38)</f>
        <v>35</v>
      </c>
      <c r="K48" s="18" t="s">
        <v>17</v>
      </c>
      <c r="L48">
        <v>1216302.6499999999</v>
      </c>
    </row>
    <row r="49" spans="5:12" x14ac:dyDescent="0.35">
      <c r="E49" s="6" t="s">
        <v>24</v>
      </c>
      <c r="F49" s="6">
        <f>SUMIF(D4:D38,"north",K4:K38)</f>
        <v>15034861.100000001</v>
      </c>
      <c r="K49" s="18" t="s">
        <v>11</v>
      </c>
      <c r="L49">
        <v>1708800.5499999998</v>
      </c>
    </row>
    <row r="50" spans="5:12" x14ac:dyDescent="0.35">
      <c r="E50" s="6" t="s">
        <v>25</v>
      </c>
      <c r="F50" s="6">
        <f>COUNTIFS(E4:E38,"electronics",D4:D38,"west")</f>
        <v>4</v>
      </c>
      <c r="K50" s="17" t="s">
        <v>16</v>
      </c>
      <c r="L50">
        <v>88894043.800000012</v>
      </c>
    </row>
    <row r="51" spans="5:12" x14ac:dyDescent="0.35">
      <c r="K51" s="17" t="s">
        <v>14</v>
      </c>
      <c r="L51">
        <v>27689611.849999998</v>
      </c>
    </row>
    <row r="52" spans="5:12" x14ac:dyDescent="0.35">
      <c r="K52" s="18" t="s">
        <v>13</v>
      </c>
      <c r="L52">
        <v>2049522</v>
      </c>
    </row>
    <row r="53" spans="5:12" x14ac:dyDescent="0.35">
      <c r="K53" s="18" t="s">
        <v>15</v>
      </c>
      <c r="L53">
        <v>9041188.6999999993</v>
      </c>
    </row>
    <row r="54" spans="5:12" x14ac:dyDescent="0.35">
      <c r="K54" s="18" t="s">
        <v>17</v>
      </c>
      <c r="L54">
        <v>1219616.45</v>
      </c>
    </row>
    <row r="55" spans="5:12" x14ac:dyDescent="0.35">
      <c r="K55" s="18" t="s">
        <v>11</v>
      </c>
      <c r="L55">
        <v>15379284.699999999</v>
      </c>
    </row>
    <row r="56" spans="5:12" x14ac:dyDescent="0.35">
      <c r="K56" s="17" t="s">
        <v>31</v>
      </c>
      <c r="L56">
        <v>120981466.45000002</v>
      </c>
    </row>
  </sheetData>
  <autoFilter ref="H42:H45" xr:uid="{00000000-0001-0000-0000-000000000000}">
    <filterColumn colId="0" showButton="0"/>
  </autoFilter>
  <mergeCells count="3">
    <mergeCell ref="E42:F43"/>
    <mergeCell ref="H42:I43"/>
    <mergeCell ref="K42:L42"/>
  </mergeCells>
  <phoneticPr fontId="4" type="noConversion"/>
  <conditionalFormatting sqref="E42:F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{F9FB9E08-5A9B-49BD-B65D-C5A162DC6A0C}</x14:id>
        </ext>
      </extLst>
    </cfRule>
  </conditionalFormatting>
  <conditionalFormatting sqref="M1:M1048576">
    <cfRule type="aboveAverage" dxfId="3" priority="4" aboveAverage="0"/>
    <cfRule type="aboveAverage" dxfId="2" priority="5"/>
  </conditionalFormatting>
  <conditionalFormatting sqref="H45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H45" xr:uid="{4A921E73-8F63-44E4-B2FA-F5CCF7D2E5A9}">
      <formula1>$B$4:$B$38</formula1>
    </dataValidation>
  </dataValidations>
  <pageMargins left="0.75" right="0.75" top="1" bottom="1" header="0.5" footer="0.5"/>
  <pageSetup paperSize="9" orientation="portrait" horizontalDpi="4294967293" verticalDpi="4294967293" r:id="rId2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FB9E08-5A9B-49BD-B65D-C5A162DC6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E42:F50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kaif sheikh</cp:lastModifiedBy>
  <dcterms:created xsi:type="dcterms:W3CDTF">2026-02-04T15:21:48Z</dcterms:created>
  <dcterms:modified xsi:type="dcterms:W3CDTF">2026-02-26T10:24:11Z</dcterms:modified>
</cp:coreProperties>
</file>